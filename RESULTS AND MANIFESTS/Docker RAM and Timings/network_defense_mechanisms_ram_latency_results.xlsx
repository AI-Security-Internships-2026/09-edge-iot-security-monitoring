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Raw_Training" sheetId="3" state="visible" r:id="rId5"/>
    <sheet name="Raw_Communication" sheetId="4" state="visible" r:id="rId6"/>
    <sheet name="Raw_Aggregation" sheetId="5" state="visible" r:id="rId7"/>
    <sheet name="Raw_RAM" sheetId="6" state="visible" r:id="rId8"/>
    <sheet name="Known_Issu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<sst xmlns="http://schemas.openxmlformats.org/spreadsheetml/2006/main" count="732" uniqueCount="130">
  <si>
    <t xml:space="preserve">Docker RAM &amp; Latency Benchmark Suite -- Results Workbook</t>
  </si>
  <si>
    <t xml:space="preserve">Model: Network-layer CNN-LSTM  |  37 features (measured, 100k-row stratified subsample)  |  8 classes  |  79,688 total parameters</t>
  </si>
  <si>
    <t xml:space="preserve">Partitioning: 2 clients, Dirichlet(alpha=0.7, seed=42), client0=31,332 train/7,834 test rows, client1=26,566 train/6,642 test rows</t>
  </si>
  <si>
    <t xml:space="preserve">Training: 3 simulated FL rounds, 2 local epochs/round, batch_size=256 (512 for DP-SGD)</t>
  </si>
  <si>
    <t xml:space="preserve">Resource profiles: both capped at 2048MB RAM (headroom, not a tight constraint) -- only vCPU allocation differs: 1.0 vCPU ("unthrottled") vs 0.5 vCPU ("throttled")</t>
  </si>
  <si>
    <t xml:space="preserve">Encryption (HE modes): CKKS via TenSEAL, poly_modulus_degree=4096, depth-1 coefficient chain -- 64-bit security (Docker-tuned config)</t>
  </si>
  <si>
    <t xml:space="preserve">DP-SGD: Opacus PrivacyEngine, target eps=3.0, delta=1e-5, max_grad_norm=1.0, DP batch_size=512</t>
  </si>
  <si>
    <t xml:space="preserve">Krum/ZKP-threshold timing: measured at n=10 synthetic clients (2 real + 8 jittered copies of real trained params) to match the main pipeline's NUM_CLIENTS=10 -- TIMING ONLY, not an accuracy or detection-rate result.</t>
  </si>
  <si>
    <t xml:space="preserve">SHEETS IN THIS WORKBOOK</t>
  </si>
  <si>
    <t xml:space="preserve">  Summary -- one row per run (mode x CPU profile), key averages, formula-driven from the raw sheets below</t>
  </si>
  <si>
    <t xml:space="preserve">  Raw_Training -- every per-client, per-round training/encryption/DP/ZKP/communication measurement (client-side)</t>
  </si>
  <si>
    <t xml:space="preserve">  Raw_Communication -- every per-submission measurement from the receiving daemon (server-side view of the same events)</t>
  </si>
  <si>
    <t xml:space="preserve">  Raw_Aggregation -- every per-round server-side aggregation measurement (HE aggregate/decrypt/ZKP-verify/threshold, or adaptive Krum)</t>
  </si>
  <si>
    <t xml:space="preserve">  Raw_RAM -- peak/avg RAM per client and per server-side process, per run</t>
  </si>
  <si>
    <t xml:space="preserve">  Known_Issues -- two data-quality notes that affect how specific columns should be read; read before citing anything from this workbook</t>
  </si>
  <si>
    <t xml:space="preserve">Mode</t>
  </si>
  <si>
    <t xml:space="preserve">Mode (label)</t>
  </si>
  <si>
    <t xml:space="preserve">CPU Profile</t>
  </si>
  <si>
    <t xml:space="preserve">vCPU</t>
  </si>
  <si>
    <t xml:space="preserve">Total Params</t>
  </si>
  <si>
    <t xml:space="preserve">Num Features</t>
  </si>
  <si>
    <t xml:space="preserve">Client0 Train Rows</t>
  </si>
  <si>
    <t xml:space="preserve">Client1 Train Rows</t>
  </si>
  <si>
    <t xml:space="preserve">Avg Train Time/Round - C0 (s)</t>
  </si>
  <si>
    <t xml:space="preserve">Avg Train Time/Round - C1 (s)</t>
  </si>
  <si>
    <t xml:space="preserve">Avg DP Setup Time (s)</t>
  </si>
  <si>
    <t xml:space="preserve">Avg HE Encrypt Time (s)</t>
  </si>
  <si>
    <t xml:space="preserve">Avg ZKP Proof Time (s)</t>
  </si>
  <si>
    <t xml:space="preserve">Avg Serialize Time (s)</t>
  </si>
  <si>
    <t xml:space="preserve">Avg Comm. Send Time - Client (s)</t>
  </si>
  <si>
    <t xml:space="preserve">Avg Payload Bytes (Client)</t>
  </si>
  <si>
    <t xml:space="preserve">Avg Daemon Recv Time (s)</t>
  </si>
  <si>
    <t xml:space="preserve">Client0 Peak RAM (MB)</t>
  </si>
  <si>
    <t xml:space="preserve">Client1 Peak RAM (MB)</t>
  </si>
  <si>
    <t xml:space="preserve">Server Peak RAM (MB)</t>
  </si>
  <si>
    <t xml:space="preserve">Avg Aggregate Time (s)</t>
  </si>
  <si>
    <t xml:space="preserve">Avg Decrypt Time (s)</t>
  </si>
  <si>
    <t xml:space="preserve">Avg ZKP Verify Time (s)</t>
  </si>
  <si>
    <t xml:space="preserve">Avg ZKP MAD Threshold Time (s)</t>
  </si>
  <si>
    <t xml:space="preserve">Avg Adaptive Krum Time (s)</t>
  </si>
  <si>
    <t xml:space="preserve">Avg Round Wall Time - C0 (s)</t>
  </si>
  <si>
    <t xml:space="preserve">Avg Round Wall Time - C1 (s)</t>
  </si>
  <si>
    <t xml:space="preserve">baseline</t>
  </si>
  <si>
    <t xml:space="preserve">Baseline (no defense)</t>
  </si>
  <si>
    <t xml:space="preserve">unthrottled</t>
  </si>
  <si>
    <t xml:space="preserve">throttled</t>
  </si>
  <si>
    <t xml:space="preserve">he_full</t>
  </si>
  <si>
    <t xml:space="preserve">Full-Model HE (CKKS)</t>
  </si>
  <si>
    <t xml:space="preserve">he_partial</t>
  </si>
  <si>
    <t xml:space="preserve">Partial HE (classifier head only)</t>
  </si>
  <si>
    <t xml:space="preserve">he_partial_zkp</t>
  </si>
  <si>
    <t xml:space="preserve">Partial HE + Norm-Bound ZKP Guard</t>
  </si>
  <si>
    <t xml:space="preserve">dp</t>
  </si>
  <si>
    <t xml:space="preserve">DP-SGD (Opacus, eps=3.0)</t>
  </si>
  <si>
    <t xml:space="preserve">Client ID</t>
  </si>
  <si>
    <t xml:space="preserve">Train Rows</t>
  </si>
  <si>
    <t xml:space="preserve">Test Rows</t>
  </si>
  <si>
    <t xml:space="preserve">Round</t>
  </si>
  <si>
    <t xml:space="preserve">DP Setup Time (s)</t>
  </si>
  <si>
    <t xml:space="preserve">Train Time (s)</t>
  </si>
  <si>
    <t xml:space="preserve">HE Encrypt Time (s)</t>
  </si>
  <si>
    <t xml:space="preserve">ZKP Proof Time (s)</t>
  </si>
  <si>
    <t xml:space="preserve">ZKP Claimed Norm*</t>
  </si>
  <si>
    <t xml:space="preserve">N Chunks</t>
  </si>
  <si>
    <t xml:space="preserve">Pct Encrypted (%)</t>
  </si>
  <si>
    <t xml:space="preserve">DP Epsilon Target</t>
  </si>
  <si>
    <t xml:space="preserve">DP Epsilon Achieved</t>
  </si>
  <si>
    <t xml:space="preserve">DP Noise Multiplier</t>
  </si>
  <si>
    <t xml:space="preserve">Serialize Time (s)</t>
  </si>
  <si>
    <t xml:space="preserve">Communication Send Time (s)</t>
  </si>
  <si>
    <t xml:space="preserve">Payload Bytes</t>
  </si>
  <si>
    <t xml:space="preserve">Communication OK</t>
  </si>
  <si>
    <t xml:space="preserve">Round Wall Time (s)</t>
  </si>
  <si>
    <t xml:space="preserve">Daemon Recv Time (s)</t>
  </si>
  <si>
    <t xml:space="preserve">Wall Time Since Daemon Start (s)</t>
  </si>
  <si>
    <t xml:space="preserve">Aggregate Time (s)</t>
  </si>
  <si>
    <t xml:space="preserve">Decrypt Time (s)</t>
  </si>
  <si>
    <t xml:space="preserve">ZKP Verify Time (s)</t>
  </si>
  <si>
    <t xml:space="preserve">ZKP MAD Threshold Time (s)</t>
  </si>
  <si>
    <t xml:space="preserve">Adaptive Krum Time (s)</t>
  </si>
  <si>
    <t xml:space="preserve">N Clients (Synthetic)</t>
  </si>
  <si>
    <t xml:space="preserve">N Clients (Real)</t>
  </si>
  <si>
    <t xml:space="preserve">Num Kept</t>
  </si>
  <si>
    <t xml:space="preserve">Num Dropped</t>
  </si>
  <si>
    <t xml:space="preserve">Process</t>
  </si>
  <si>
    <t xml:space="preserve">Peak RAM (MB)</t>
  </si>
  <si>
    <t xml:space="preserve">Avg RAM (MB)</t>
  </si>
  <si>
    <t xml:space="preserve">N RAM Samples</t>
  </si>
  <si>
    <t xml:space="preserve">Real cgroup Mem Limit (MB)</t>
  </si>
  <si>
    <t xml:space="preserve">Real cgroup CPU Limit (cores)</t>
  </si>
  <si>
    <t xml:space="preserve">Client 0</t>
  </si>
  <si>
    <t xml:space="preserve">Client 1</t>
  </si>
  <si>
    <t xml:space="preserve">Server (aggregation)</t>
  </si>
  <si>
    <t xml:space="preserve">Known Data-Quality Issues -- Read Before Citing</t>
  </si>
  <si>
    <t xml:space="preserve">1. ZKP Claimed Norm is always 0.0 (Raw_Training column "ZKP Claimed Norm*", he_partial_zkp runs only)</t>
  </si>
  <si>
    <t xml:space="preserve">This is a real bug in the test harness, not a property of the defense mechanism. The head-norm</t>
  </si>
  <si>
    <t xml:space="preserve">delta is computed as (trained classifier-head params) minus (classifier-head params captured</t>
  </si>
  <si>
    <t xml:space="preserve">before training). The "before training" snapshot was taken via tensor.cpu().numpy(), which for an</t>
  </si>
  <si>
    <t xml:space="preserve">already-CPU tensor returns a VIEW sharing memory with the tensor, not a copy. When the optimizer</t>
  </si>
  <si>
    <t xml:space="preserve">later mutates that tensor in-place during training, the earlier "before" snapshot is silently</t>
  </si>
  <si>
    <t xml:space="preserve">overwritten too -- so by the time the delta is computed, both sides of the subtraction point at</t>
  </si>
  <si>
    <t xml:space="preserve">the same post-training memory, and the norm is trivially zero every round, for every client, in</t>
  </si>
  <si>
    <t xml:space="preserve">both resource profiles.</t>
  </si>
  <si>
    <t xml:space="preserve">IMPACT: This affects ONLY the "ZKP Claimed Norm" column's displayed value. It does NOT affect:</t>
  </si>
  <si>
    <t xml:space="preserve">  - ZKP Proof Time (s) -- norm computation cost is the same regardless of the input value</t>
  </si>
  <si>
    <t xml:space="preserve">  - HE Encrypt Time (s), Train Time (s), or any other client-side timing</t>
  </si>
  <si>
    <t xml:space="preserve">  - Server-side ZKP Verify Time / ZKP MAD Threshold Time -- these time the verification/threshold</t>
  </si>
  <si>
    <t xml:space="preserve">    ALGORITHMS themselves, which run identically regardless of whether the input norms are real</t>
  </si>
  <si>
    <t xml:space="preserve">    or all-zero</t>
  </si>
  <si>
    <t xml:space="preserve">  - Any RAM, communication, or aggregation measurement in this workbook</t>
  </si>
  <si>
    <t xml:space="preserve">RECOMMENDATION: Do not cite the ZKP Claimed Norm column as a real result. All other columns in</t>
  </si>
  <si>
    <t xml:space="preserve">this workbook are unaffected by this issue.</t>
  </si>
  <si>
    <t xml:space="preserve">2. Adaptive Krum / ZKP MAD-Threshold timing uses 10 SYNTHETIC clients, not 10 real ones</t>
  </si>
  <si>
    <t xml:space="preserve">This test suite runs 2 real Docker clients. Adaptive Krum's distance computation is O(n^2 x d) in</t>
  </si>
  <si>
    <t xml:space="preserve">the number of clients n, and the project's main FL pipeline runs with NUM_CLIENTS=10 -- a 2-client</t>
  </si>
  <si>
    <t xml:space="preserve">Krum timing would not be representative of real per-round aggregation cost, and a 2-point MAD</t>
  </si>
  <si>
    <t xml:space="preserve">threshold is statistically degenerate. To keep the client COUNT and model DIMENSIONALITY realistic</t>
  </si>
  <si>
    <t xml:space="preserve">(the two things that actually drive these algorithms' runtime), 8 additional "clients" are</t>
  </si>
  <si>
    <t xml:space="preserve">synthesized by adding small i.i.d. Gaussian jitter to copies of the 2 real clients' actual trained</t>
  </si>
  <si>
    <t xml:space="preserve">parameters / claimed norms.</t>
  </si>
  <si>
    <t xml:space="preserve">IMPACT: "Avg Adaptive Krum Time (s)" and "Avg ZKP MAD Threshold Time (s)" in the Summary sheet, and</t>
  </si>
  <si>
    <t xml:space="preserve">the corresponding Raw_Aggregation columns, describe algorithm COST at a realistic (n=10, d=79,688),</t>
  </si>
  <si>
    <t xml:space="preserve">NOT an accuracy or Byzantine-detection result of any kind. "Num Kept"/"Num Dropped" in</t>
  </si>
  <si>
    <t xml:space="preserve">Raw_Aggregation describe an artifact of the synthetic jitter, not real attack detection -- do not</t>
  </si>
  <si>
    <t xml:space="preserve">cite these as evidence of defense effectiveness.</t>
  </si>
  <si>
    <t xml:space="preserve">3. Resource profile note</t>
  </si>
  <si>
    <t xml:space="preserve">Both "unthrottled" (1.0 vCPU) and "throttled" (0.5 vCPU) profiles use the SAME 2048MB RAM cap in</t>
  </si>
  <si>
    <t xml:space="preserve">this test suite. This is a deliberate "don't crash, just measure" ceiling, not a tight simulated</t>
  </si>
  <si>
    <t xml:space="preserve">constraint -- only CPU allocation is varied between the two profiles. Peak RAM usage stayed well</t>
  </si>
  <si>
    <t xml:space="preserve">under this ceiling in every run (see Raw_RAM), confirming headroom was never the limiting factor.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</si>
</sst>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6" min="5" style="0" width="12"/>
    <col collapsed="false" customWidth="true" hidden="false" outlineLevel="0" max="8" min="7" style="0" width="14"/>
    <col collapsed="false" customWidth="true" hidden="false" outlineLevel="0" max="10" min="9" style="0" width="16"/>
    <col collapsed="false" customWidth="true" hidden="false" outlineLevel="0" max="14" min="11" style="0" width="14"/>
    <col collapsed="false" customWidth="true" hidden="false" outlineLevel="0" max="15" min="15" style="0" width="18"/>
    <col collapsed="false" customWidth="true" hidden="false" outlineLevel="0" max="17" min="16" style="0" width="16"/>
    <col collapsed="false" customWidth="true" hidden="false" outlineLevel="0" max="23" min="18" style="0" width="14"/>
    <col collapsed="false" customWidth="true" hidden="false" outlineLevel="0" max="24" min="24" style="0" width="18"/>
    <col collapsed="false" customWidth="true" hidden="false" outlineLevel="0" max="25" min="25" style="0" width="16"/>
    <col collapsed="false" customWidth="true" hidden="false" outlineLevel="0" max="27" min="26" style="0" width="18"/>
  </cols>
  <sheetData>
    <row r="1" customFormat="false" ht="30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36</v>
      </c>
      <c r="W1" s="4" t="s">
        <v>37</v>
      </c>
      <c r="X1" s="4" t="s">
        <v>38</v>
      </c>
      <c r="Y1" s="4" t="s">
        <v>39</v>
      </c>
      <c r="Z1" s="4" t="s">
        <v>40</v>
      </c>
      <c r="AA1" s="4" t="s">
        <v>41</v>
      </c>
    </row>
    <row r="2" customFormat="false" ht="15" hidden="false" customHeight="false" outlineLevel="0" collapsed="false">
      <c r="A2" s="5" t="s">
        <v>42</v>
      </c>
      <c r="B2" s="5" t="s">
        <v>43</v>
      </c>
      <c r="C2" s="5" t="s">
        <v>44</v>
      </c>
      <c r="D2" s="5" t="n">
        <v>1</v>
      </c>
      <c r="E2" s="5" t="n">
        <v>79688</v>
      </c>
      <c r="F2" s="5" t="n">
        <v>37</v>
      </c>
      <c r="G2" s="5" t="n">
        <v>31332</v>
      </c>
      <c r="H2" s="5" t="n">
        <v>26566</v>
      </c>
      <c r="I2" s="6" t="n">
        <f aca="false">IFERROR(AVERAGEIFS(Raw_Training!$J$2:$J$61,Raw_Training!$A$2:$A$61,$A2,Raw_Training!$C$2:$C$61,$C2,Raw_Training!$E$2:$E$61,0),"")</f>
        <v>134.630133333333</v>
      </c>
      <c r="J2" s="5" t="n">
        <f aca="false">IFERROR(AVERAGEIFS(Raw_Training!$J$2:$J$61,Raw_Training!$A$2:$A$61,$A2,Raw_Training!$C$2:$C$61,$C2,Raw_Training!$E$2:$E$61,1),"")</f>
        <v>102.8673</v>
      </c>
      <c r="K2" s="6" t="str">
        <f aca="false">IFERROR(AVERAGEIFS(Raw_Training!$I$2:$I$61,Raw_Training!$A$2:$A$61,$A2,Raw_Training!$C$2:$C$61,$C2),"")</f>
        <v/>
      </c>
      <c r="L2" s="6" t="str">
        <f aca="false">IFERROR(AVERAGEIFS(Raw_Training!$K$2:$K$61,Raw_Training!$A$2:$A$61,$A2,Raw_Training!$C$2:$C$61,$C2),"")</f>
        <v/>
      </c>
      <c r="M2" s="6" t="str">
        <f aca="false">IFERROR(AVERAGEIFS(Raw_Training!$L$2:$L$61,Raw_Training!$A$2:$A$61,$A2,Raw_Training!$C$2:$C$61,$C2),"")</f>
        <v/>
      </c>
      <c r="N2" s="6" t="n">
        <f aca="false">IFERROR(AVERAGEIFS(Raw_Training!$S$2:$S$61,Raw_Training!$A$2:$A$61,$A2,Raw_Training!$C$2:$C$61,$C2),"")</f>
        <v>0.122713333333333</v>
      </c>
      <c r="O2" s="6" t="n">
        <f aca="false">IFERROR(AVERAGEIFS(Raw_Training!$T$2:$T$61,Raw_Training!$A$2:$A$61,$A2,Raw_Training!$C$2:$C$61,$C2),"")</f>
        <v>0.084155</v>
      </c>
      <c r="P2" s="6" t="n">
        <f aca="false">IFERROR(AVERAGEIFS(Raw_Training!$U$2:$U$61,Raw_Training!$A$2:$A$61,$A2,Raw_Training!$C$2:$C$61,$C2),"")</f>
        <v>1755723.5</v>
      </c>
      <c r="Q2" s="6" t="n">
        <f aca="false">IFERROR(AVERAGEIFS(Raw_Communication!$F$2:$F$61,Raw_Communication!$A$2:$A$61,$A2,Raw_Communication!$C$2:$C$61,$C2),"")</f>
        <v>0.07103</v>
      </c>
      <c r="R2" s="6" t="n">
        <f aca="false">IFERROR(AVERAGEIFS(Raw_RAM!$E$2:$E$31,Raw_RAM!$A$2:$A$31,$A2,Raw_RAM!$C$2:$C$31,$C2,Raw_RAM!$D$2:$D$31,"Client 0"),"")</f>
        <v>382.9</v>
      </c>
      <c r="S2" s="6" t="n">
        <f aca="false">IFERROR(AVERAGEIFS(Raw_RAM!$E$2:$E$31,Raw_RAM!$A$2:$A$31,$A2,Raw_RAM!$C$2:$C$31,$C2,Raw_RAM!$D$2:$D$31,"Client 1"),"")</f>
        <v>382.4</v>
      </c>
      <c r="T2" s="6" t="n">
        <f aca="false">IFERROR(AVERAGEIFS(Raw_RAM!$E$2:$E$31,Raw_RAM!$A$2:$A$31,$A2,Raw_RAM!$C$2:$C$31,$C2,Raw_RAM!$D$2:$D$31,"Server (aggregation)"),"")</f>
        <v>63.3</v>
      </c>
      <c r="U2" s="6" t="str">
        <f aca="false">IFERROR(AVERAGEIFS(Raw_Aggregation!$E$2:$E$31,Raw_Aggregation!$A$2:$A$31,$A2,Raw_Aggregation!$C$2:$C$31,$C2),"")</f>
        <v/>
      </c>
      <c r="V2" s="6" t="str">
        <f aca="false">IFERROR(AVERAGEIFS(Raw_Aggregation!$F$2:$F$31,Raw_Aggregation!$A$2:$A$31,$A2,Raw_Aggregation!$C$2:$C$31,$C2),"")</f>
        <v/>
      </c>
      <c r="W2" s="6" t="str">
        <f aca="false">IFERROR(AVERAGEIFS(Raw_Aggregation!$G$2:$G$31,Raw_Aggregation!$A$2:$A$31,$A2,Raw_Aggregation!$C$2:$C$31,$C2),"")</f>
        <v/>
      </c>
      <c r="X2" s="6" t="str">
        <f aca="false">IFERROR(AVERAGEIFS(Raw_Aggregation!$H$2:$H$31,Raw_Aggregation!$A$2:$A$31,$A2,Raw_Aggregation!$C$2:$C$31,$C2),"")</f>
        <v/>
      </c>
      <c r="Y2" s="6" t="n">
        <f aca="false">IFERROR(AVERAGEIFS(Raw_Aggregation!$I$2:$I$31,Raw_Aggregation!$A$2:$A$31,$A2,Raw_Aggregation!$C$2:$C$31,$C2),"")</f>
        <v>0.0235366666666667</v>
      </c>
      <c r="Z2" s="6" t="n">
        <f aca="false">IFERROR(AVERAGEIFS(Raw_Training!$W$2:$W$61,Raw_Training!$A$2:$A$61,$A2,Raw_Training!$C$2:$C$61,$C2,Raw_Training!$E$2:$E$61,0),"")</f>
        <v>135.799833333333</v>
      </c>
      <c r="AA2" s="6" t="n">
        <f aca="false">IFERROR(AVERAGEIFS(Raw_Training!$W$2:$W$61,Raw_Training!$A$2:$A$61,$A2,Raw_Training!$C$2:$C$61,$C2,Raw_Training!$E$2:$E$61,1),"")</f>
        <v>104.244666666667</v>
      </c>
    </row>
    <row r="3" customFormat="false" ht="15" hidden="false" customHeight="false" outlineLevel="0" collapsed="false">
      <c r="A3" s="7" t="s">
        <v>42</v>
      </c>
      <c r="B3" s="7" t="s">
        <v>43</v>
      </c>
      <c r="C3" s="7" t="s">
        <v>45</v>
      </c>
      <c r="D3" s="7" t="n">
        <v>0.5</v>
      </c>
      <c r="E3" s="7" t="n">
        <v>79688</v>
      </c>
      <c r="F3" s="7" t="n">
        <v>37</v>
      </c>
      <c r="G3" s="7" t="n">
        <v>31332</v>
      </c>
      <c r="H3" s="7" t="n">
        <v>26566</v>
      </c>
      <c r="I3" s="8" t="n">
        <f aca="false">IFERROR(AVERAGEIFS(Raw_Training!$J$2:$J$61,Raw_Training!$A$2:$A$61,$A3,Raw_Training!$C$2:$C$61,$C3,Raw_Training!$E$2:$E$61,0),"")</f>
        <v>432.928666666667</v>
      </c>
      <c r="J3" s="7" t="n">
        <f aca="false">IFERROR(AVERAGEIFS(Raw_Training!$J$2:$J$61,Raw_Training!$A$2:$A$61,$A3,Raw_Training!$C$2:$C$61,$C3,Raw_Training!$E$2:$E$61,1),"")</f>
        <v>497.614366666667</v>
      </c>
      <c r="K3" s="8" t="str">
        <f aca="false">IFERROR(AVERAGEIFS(Raw_Training!$I$2:$I$61,Raw_Training!$A$2:$A$61,$A3,Raw_Training!$C$2:$C$61,$C3),"")</f>
        <v/>
      </c>
      <c r="L3" s="8" t="str">
        <f aca="false">IFERROR(AVERAGEIFS(Raw_Training!$K$2:$K$61,Raw_Training!$A$2:$A$61,$A3,Raw_Training!$C$2:$C$61,$C3),"")</f>
        <v/>
      </c>
      <c r="M3" s="8" t="str">
        <f aca="false">IFERROR(AVERAGEIFS(Raw_Training!$L$2:$L$61,Raw_Training!$A$2:$A$61,$A3,Raw_Training!$C$2:$C$61,$C3),"")</f>
        <v/>
      </c>
      <c r="N3" s="8" t="n">
        <f aca="false">IFERROR(AVERAGEIFS(Raw_Training!$S$2:$S$61,Raw_Training!$A$2:$A$61,$A3,Raw_Training!$C$2:$C$61,$C3),"")</f>
        <v>0.217666666666667</v>
      </c>
      <c r="O3" s="8" t="n">
        <f aca="false">IFERROR(AVERAGEIFS(Raw_Training!$T$2:$T$61,Raw_Training!$A$2:$A$61,$A3,Raw_Training!$C$2:$C$61,$C3),"")</f>
        <v>0.174061666666667</v>
      </c>
      <c r="P3" s="8" t="n">
        <f aca="false">IFERROR(AVERAGEIFS(Raw_Training!$U$2:$U$61,Raw_Training!$A$2:$A$61,$A3,Raw_Training!$C$2:$C$61,$C3),"")</f>
        <v>1755777</v>
      </c>
      <c r="Q3" s="8" t="n">
        <f aca="false">IFERROR(AVERAGEIFS(Raw_Communication!$F$2:$F$61,Raw_Communication!$A$2:$A$61,$A3,Raw_Communication!$C$2:$C$61,$C3),"")</f>
        <v>0.1541</v>
      </c>
      <c r="R3" s="8" t="n">
        <f aca="false">IFERROR(AVERAGEIFS(Raw_RAM!$E$2:$E$31,Raw_RAM!$A$2:$A$31,$A3,Raw_RAM!$C$2:$C$31,$C3,Raw_RAM!$D$2:$D$31,"Client 0"),"")</f>
        <v>385.9</v>
      </c>
      <c r="S3" s="8" t="n">
        <f aca="false">IFERROR(AVERAGEIFS(Raw_RAM!$E$2:$E$31,Raw_RAM!$A$2:$A$31,$A3,Raw_RAM!$C$2:$C$31,$C3,Raw_RAM!$D$2:$D$31,"Client 1"),"")</f>
        <v>382.4</v>
      </c>
      <c r="T3" s="8" t="n">
        <f aca="false">IFERROR(AVERAGEIFS(Raw_RAM!$E$2:$E$31,Raw_RAM!$A$2:$A$31,$A3,Raw_RAM!$C$2:$C$31,$C3,Raw_RAM!$D$2:$D$31,"Server (aggregation)"),"")</f>
        <v>63.1</v>
      </c>
      <c r="U3" s="8" t="str">
        <f aca="false">IFERROR(AVERAGEIFS(Raw_Aggregation!$E$2:$E$31,Raw_Aggregation!$A$2:$A$31,$A3,Raw_Aggregation!$C$2:$C$31,$C3),"")</f>
        <v/>
      </c>
      <c r="V3" s="8" t="str">
        <f aca="false">IFERROR(AVERAGEIFS(Raw_Aggregation!$F$2:$F$31,Raw_Aggregation!$A$2:$A$31,$A3,Raw_Aggregation!$C$2:$C$31,$C3),"")</f>
        <v/>
      </c>
      <c r="W3" s="8" t="str">
        <f aca="false">IFERROR(AVERAGEIFS(Raw_Aggregation!$G$2:$G$31,Raw_Aggregation!$A$2:$A$31,$A3,Raw_Aggregation!$C$2:$C$31,$C3),"")</f>
        <v/>
      </c>
      <c r="X3" s="8" t="str">
        <f aca="false">IFERROR(AVERAGEIFS(Raw_Aggregation!$H$2:$H$31,Raw_Aggregation!$A$2:$A$31,$A3,Raw_Aggregation!$C$2:$C$31,$C3),"")</f>
        <v/>
      </c>
      <c r="Y3" s="8" t="n">
        <f aca="false">IFERROR(AVERAGEIFS(Raw_Aggregation!$I$2:$I$31,Raw_Aggregation!$A$2:$A$31,$A3,Raw_Aggregation!$C$2:$C$31,$C3),"")</f>
        <v>0.0617766666666667</v>
      </c>
      <c r="Z3" s="8" t="n">
        <f aca="false">IFERROR(AVERAGEIFS(Raw_Training!$W$2:$W$61,Raw_Training!$A$2:$A$61,$A3,Raw_Training!$C$2:$C$61,$C3,Raw_Training!$E$2:$E$61,0),"")</f>
        <v>434.497066666667</v>
      </c>
      <c r="AA3" s="8" t="n">
        <f aca="false">IFERROR(AVERAGEIFS(Raw_Training!$W$2:$W$61,Raw_Training!$A$2:$A$61,$A3,Raw_Training!$C$2:$C$61,$C3,Raw_Training!$E$2:$E$61,1),"")</f>
        <v>499.2431</v>
      </c>
    </row>
    <row r="4" customFormat="false" ht="15" hidden="false" customHeight="false" outlineLevel="0" collapsed="false">
      <c r="A4" s="5" t="s">
        <v>46</v>
      </c>
      <c r="B4" s="5" t="s">
        <v>47</v>
      </c>
      <c r="C4" s="5" t="s">
        <v>44</v>
      </c>
      <c r="D4" s="5" t="n">
        <v>1</v>
      </c>
      <c r="E4" s="5" t="n">
        <v>79688</v>
      </c>
      <c r="F4" s="5" t="n">
        <v>37</v>
      </c>
      <c r="G4" s="5" t="n">
        <v>31332</v>
      </c>
      <c r="H4" s="5" t="n">
        <v>26566</v>
      </c>
      <c r="I4" s="6" t="n">
        <f aca="false">IFERROR(AVERAGEIFS(Raw_Training!$J$2:$J$61,Raw_Training!$A$2:$A$61,$A4,Raw_Training!$C$2:$C$61,$C4,Raw_Training!$E$2:$E$61,0),"")</f>
        <v>134.967</v>
      </c>
      <c r="J4" s="5" t="n">
        <f aca="false">IFERROR(AVERAGEIFS(Raw_Training!$J$2:$J$61,Raw_Training!$A$2:$A$61,$A4,Raw_Training!$C$2:$C$61,$C4,Raw_Training!$E$2:$E$61,1),"")</f>
        <v>82.2456</v>
      </c>
      <c r="K4" s="6" t="str">
        <f aca="false">IFERROR(AVERAGEIFS(Raw_Training!$I$2:$I$61,Raw_Training!$A$2:$A$61,$A4,Raw_Training!$C$2:$C$61,$C4),"")</f>
        <v/>
      </c>
      <c r="L4" s="6" t="n">
        <f aca="false">IFERROR(AVERAGEIFS(Raw_Training!$K$2:$K$61,Raw_Training!$A$2:$A$61,$A4,Raw_Training!$C$2:$C$61,$C4),"")</f>
        <v>0.336116666666667</v>
      </c>
      <c r="M4" s="6" t="str">
        <f aca="false">IFERROR(AVERAGEIFS(Raw_Training!$L$2:$L$61,Raw_Training!$A$2:$A$61,$A4,Raw_Training!$C$2:$C$61,$C4),"")</f>
        <v/>
      </c>
      <c r="N4" s="6" t="n">
        <f aca="false">IFERROR(AVERAGEIFS(Raw_Training!$S$2:$S$61,Raw_Training!$A$2:$A$61,$A4,Raw_Training!$C$2:$C$61,$C4),"")</f>
        <v>0.03137</v>
      </c>
      <c r="O4" s="6" t="n">
        <f aca="false">IFERROR(AVERAGEIFS(Raw_Training!$T$2:$T$61,Raw_Training!$A$2:$A$61,$A4,Raw_Training!$C$2:$C$61,$C4),"")</f>
        <v>0.04394</v>
      </c>
      <c r="P4" s="6" t="n">
        <f aca="false">IFERROR(AVERAGEIFS(Raw_Training!$U$2:$U$61,Raw_Training!$A$2:$A$61,$A4,Raw_Training!$C$2:$C$61,$C4),"")</f>
        <v>4562887.33333333</v>
      </c>
      <c r="Q4" s="6" t="n">
        <f aca="false">IFERROR(AVERAGEIFS(Raw_Communication!$F$2:$F$61,Raw_Communication!$A$2:$A$61,$A4,Raw_Communication!$C$2:$C$61,$C4),"")</f>
        <v>0.0329783333333333</v>
      </c>
      <c r="R4" s="6" t="n">
        <f aca="false">IFERROR(AVERAGEIFS(Raw_RAM!$E$2:$E$31,Raw_RAM!$A$2:$A$31,$A4,Raw_RAM!$C$2:$C$31,$C4,Raw_RAM!$D$2:$D$31,"Client 0"),"")</f>
        <v>401.1</v>
      </c>
      <c r="S4" s="6" t="n">
        <f aca="false">IFERROR(AVERAGEIFS(Raw_RAM!$E$2:$E$31,Raw_RAM!$A$2:$A$31,$A4,Raw_RAM!$C$2:$C$31,$C4,Raw_RAM!$D$2:$D$31,"Client 1"),"")</f>
        <v>396.2</v>
      </c>
      <c r="T4" s="6" t="n">
        <f aca="false">IFERROR(AVERAGEIFS(Raw_RAM!$E$2:$E$31,Raw_RAM!$A$2:$A$31,$A4,Raw_RAM!$C$2:$C$31,$C4,Raw_RAM!$D$2:$D$31,"Server (aggregation)"),"")</f>
        <v>72.9</v>
      </c>
      <c r="U4" s="6" t="n">
        <f aca="false">IFERROR(AVERAGEIFS(Raw_Aggregation!$E$2:$E$31,Raw_Aggregation!$A$2:$A$31,$A4,Raw_Aggregation!$C$2:$C$31,$C4),"")</f>
        <v>0.116746666666667</v>
      </c>
      <c r="V4" s="6" t="n">
        <f aca="false">IFERROR(AVERAGEIFS(Raw_Aggregation!$F$2:$F$31,Raw_Aggregation!$A$2:$A$31,$A4,Raw_Aggregation!$C$2:$C$31,$C4),"")</f>
        <v>0.02738</v>
      </c>
      <c r="W4" s="6" t="str">
        <f aca="false">IFERROR(AVERAGEIFS(Raw_Aggregation!$G$2:$G$31,Raw_Aggregation!$A$2:$A$31,$A4,Raw_Aggregation!$C$2:$C$31,$C4),"")</f>
        <v/>
      </c>
      <c r="X4" s="6" t="str">
        <f aca="false">IFERROR(AVERAGEIFS(Raw_Aggregation!$H$2:$H$31,Raw_Aggregation!$A$2:$A$31,$A4,Raw_Aggregation!$C$2:$C$31,$C4),"")</f>
        <v/>
      </c>
      <c r="Y4" s="6" t="str">
        <f aca="false">IFERROR(AVERAGEIFS(Raw_Aggregation!$I$2:$I$31,Raw_Aggregation!$A$2:$A$31,$A4,Raw_Aggregation!$C$2:$C$31,$C4),"")</f>
        <v/>
      </c>
      <c r="Z4" s="6" t="n">
        <f aca="false">IFERROR(AVERAGEIFS(Raw_Training!$W$2:$W$61,Raw_Training!$A$2:$A$61,$A4,Raw_Training!$C$2:$C$61,$C4,Raw_Training!$E$2:$E$61,0),"")</f>
        <v>135.6872</v>
      </c>
      <c r="AA4" s="6" t="n">
        <f aca="false">IFERROR(AVERAGEIFS(Raw_Training!$W$2:$W$61,Raw_Training!$A$2:$A$61,$A4,Raw_Training!$C$2:$C$61,$C4,Raw_Training!$E$2:$E$61,1),"")</f>
        <v>82.9662</v>
      </c>
    </row>
    <row r="5" customFormat="false" ht="15" hidden="false" customHeight="false" outlineLevel="0" collapsed="false">
      <c r="A5" s="7" t="s">
        <v>46</v>
      </c>
      <c r="B5" s="7" t="s">
        <v>47</v>
      </c>
      <c r="C5" s="7" t="s">
        <v>45</v>
      </c>
      <c r="D5" s="7" t="n">
        <v>0.5</v>
      </c>
      <c r="E5" s="7" t="n">
        <v>79688</v>
      </c>
      <c r="F5" s="7" t="n">
        <v>37</v>
      </c>
      <c r="G5" s="7" t="n">
        <v>31332</v>
      </c>
      <c r="H5" s="7" t="n">
        <v>26566</v>
      </c>
      <c r="I5" s="8" t="n">
        <f aca="false">IFERROR(AVERAGEIFS(Raw_Training!$J$2:$J$61,Raw_Training!$A$2:$A$61,$A5,Raw_Training!$C$2:$C$61,$C5,Raw_Training!$E$2:$E$61,0),"")</f>
        <v>630.333233333333</v>
      </c>
      <c r="J5" s="7" t="n">
        <f aca="false">IFERROR(AVERAGEIFS(Raw_Training!$J$2:$J$61,Raw_Training!$A$2:$A$61,$A5,Raw_Training!$C$2:$C$61,$C5,Raw_Training!$E$2:$E$61,1),"")</f>
        <v>193.8183</v>
      </c>
      <c r="K5" s="8" t="str">
        <f aca="false">IFERROR(AVERAGEIFS(Raw_Training!$I$2:$I$61,Raw_Training!$A$2:$A$61,$A5,Raw_Training!$C$2:$C$61,$C5),"")</f>
        <v/>
      </c>
      <c r="L5" s="8" t="n">
        <f aca="false">IFERROR(AVERAGEIFS(Raw_Training!$K$2:$K$61,Raw_Training!$A$2:$A$61,$A5,Raw_Training!$C$2:$C$61,$C5),"")</f>
        <v>0.594033333333333</v>
      </c>
      <c r="M5" s="8" t="str">
        <f aca="false">IFERROR(AVERAGEIFS(Raw_Training!$L$2:$L$61,Raw_Training!$A$2:$A$61,$A5,Raw_Training!$C$2:$C$61,$C5),"")</f>
        <v/>
      </c>
      <c r="N5" s="8" t="n">
        <f aca="false">IFERROR(AVERAGEIFS(Raw_Training!$S$2:$S$61,Raw_Training!$A$2:$A$61,$A5,Raw_Training!$C$2:$C$61,$C5),"")</f>
        <v>0.0339</v>
      </c>
      <c r="O5" s="8" t="n">
        <f aca="false">IFERROR(AVERAGEIFS(Raw_Training!$T$2:$T$61,Raw_Training!$A$2:$A$61,$A5,Raw_Training!$C$2:$C$61,$C5),"")</f>
        <v>0.08223</v>
      </c>
      <c r="P5" s="8" t="n">
        <f aca="false">IFERROR(AVERAGEIFS(Raw_Training!$U$2:$U$61,Raw_Training!$A$2:$A$61,$A5,Raw_Training!$C$2:$C$61,$C5),"")</f>
        <v>4563279.33333333</v>
      </c>
      <c r="Q5" s="8" t="n">
        <f aca="false">IFERROR(AVERAGEIFS(Raw_Communication!$F$2:$F$61,Raw_Communication!$A$2:$A$61,$A5,Raw_Communication!$C$2:$C$61,$C5),"")</f>
        <v>0.0554766666666667</v>
      </c>
      <c r="R5" s="8" t="n">
        <f aca="false">IFERROR(AVERAGEIFS(Raw_RAM!$E$2:$E$31,Raw_RAM!$A$2:$A$31,$A5,Raw_RAM!$C$2:$C$31,$C5,Raw_RAM!$D$2:$D$31,"Client 0"),"")</f>
        <v>399.5</v>
      </c>
      <c r="S5" s="8" t="n">
        <f aca="false">IFERROR(AVERAGEIFS(Raw_RAM!$E$2:$E$31,Raw_RAM!$A$2:$A$31,$A5,Raw_RAM!$C$2:$C$31,$C5,Raw_RAM!$D$2:$D$31,"Client 1"),"")</f>
        <v>399.5</v>
      </c>
      <c r="T5" s="8" t="n">
        <f aca="false">IFERROR(AVERAGEIFS(Raw_RAM!$E$2:$E$31,Raw_RAM!$A$2:$A$31,$A5,Raw_RAM!$C$2:$C$31,$C5,Raw_RAM!$D$2:$D$31,"Server (aggregation)"),"")</f>
        <v>72.9</v>
      </c>
      <c r="U5" s="8" t="n">
        <f aca="false">IFERROR(AVERAGEIFS(Raw_Aggregation!$E$2:$E$31,Raw_Aggregation!$A$2:$A$31,$A5,Raw_Aggregation!$C$2:$C$31,$C5),"")</f>
        <v>0.255666666666667</v>
      </c>
      <c r="V5" s="8" t="n">
        <f aca="false">IFERROR(AVERAGEIFS(Raw_Aggregation!$F$2:$F$31,Raw_Aggregation!$A$2:$A$31,$A5,Raw_Aggregation!$C$2:$C$31,$C5),"")</f>
        <v>0.0448233333333333</v>
      </c>
      <c r="W5" s="8" t="str">
        <f aca="false">IFERROR(AVERAGEIFS(Raw_Aggregation!$G$2:$G$31,Raw_Aggregation!$A$2:$A$31,$A5,Raw_Aggregation!$C$2:$C$31,$C5),"")</f>
        <v/>
      </c>
      <c r="X5" s="8" t="str">
        <f aca="false">IFERROR(AVERAGEIFS(Raw_Aggregation!$H$2:$H$31,Raw_Aggregation!$A$2:$A$31,$A5,Raw_Aggregation!$C$2:$C$31,$C5),"")</f>
        <v/>
      </c>
      <c r="Y5" s="8" t="str">
        <f aca="false">IFERROR(AVERAGEIFS(Raw_Aggregation!$I$2:$I$31,Raw_Aggregation!$A$2:$A$31,$A5,Raw_Aggregation!$C$2:$C$31,$C5),"")</f>
        <v/>
      </c>
      <c r="Z5" s="8" t="n">
        <f aca="false">IFERROR(AVERAGEIFS(Raw_Training!$W$2:$W$61,Raw_Training!$A$2:$A$61,$A5,Raw_Training!$C$2:$C$61,$C5,Raw_Training!$E$2:$E$61,0),"")</f>
        <v>631.6327</v>
      </c>
      <c r="AA5" s="8" t="n">
        <f aca="false">IFERROR(AVERAGEIFS(Raw_Training!$W$2:$W$61,Raw_Training!$A$2:$A$61,$A5,Raw_Training!$C$2:$C$61,$C5,Raw_Training!$E$2:$E$61,1),"")</f>
        <v>195.061333333333</v>
      </c>
    </row>
    <row r="6" customFormat="false" ht="15" hidden="false" customHeight="false" outlineLevel="0" collapsed="false">
      <c r="A6" s="5" t="s">
        <v>48</v>
      </c>
      <c r="B6" s="5" t="s">
        <v>49</v>
      </c>
      <c r="C6" s="5" t="s">
        <v>44</v>
      </c>
      <c r="D6" s="5" t="n">
        <v>1</v>
      </c>
      <c r="E6" s="5" t="n">
        <v>79688</v>
      </c>
      <c r="F6" s="5" t="n">
        <v>37</v>
      </c>
      <c r="G6" s="5" t="n">
        <v>31332</v>
      </c>
      <c r="H6" s="5" t="n">
        <v>26566</v>
      </c>
      <c r="I6" s="6" t="n">
        <f aca="false">IFERROR(AVERAGEIFS(Raw_Training!$J$2:$J$61,Raw_Training!$A$2:$A$61,$A6,Raw_Training!$C$2:$C$61,$C6,Raw_Training!$E$2:$E$61,0),"")</f>
        <v>140.869733333333</v>
      </c>
      <c r="J6" s="5" t="n">
        <f aca="false">IFERROR(AVERAGEIFS(Raw_Training!$J$2:$J$61,Raw_Training!$A$2:$A$61,$A6,Raw_Training!$C$2:$C$61,$C6,Raw_Training!$E$2:$E$61,1),"")</f>
        <v>109.5597</v>
      </c>
      <c r="K6" s="6" t="str">
        <f aca="false">IFERROR(AVERAGEIFS(Raw_Training!$I$2:$I$61,Raw_Training!$A$2:$A$61,$A6,Raw_Training!$C$2:$C$61,$C6),"")</f>
        <v/>
      </c>
      <c r="L6" s="6" t="n">
        <f aca="false">IFERROR(AVERAGEIFS(Raw_Training!$K$2:$K$61,Raw_Training!$A$2:$A$61,$A6,Raw_Training!$C$2:$C$61,$C6),"")</f>
        <v>0.03655</v>
      </c>
      <c r="M6" s="6" t="str">
        <f aca="false">IFERROR(AVERAGEIFS(Raw_Training!$L$2:$L$61,Raw_Training!$A$2:$A$61,$A6,Raw_Training!$C$2:$C$61,$C6),"")</f>
        <v/>
      </c>
      <c r="N6" s="6" t="n">
        <f aca="false">IFERROR(AVERAGEIFS(Raw_Training!$S$2:$S$61,Raw_Training!$A$2:$A$61,$A6,Raw_Training!$C$2:$C$61,$C6),"")</f>
        <v>0.122588333333333</v>
      </c>
      <c r="O6" s="6" t="n">
        <f aca="false">IFERROR(AVERAGEIFS(Raw_Training!$T$2:$T$61,Raw_Training!$A$2:$A$61,$A6,Raw_Training!$C$2:$C$61,$C6),"")</f>
        <v>0.0838933333333333</v>
      </c>
      <c r="P6" s="6" t="n">
        <f aca="false">IFERROR(AVERAGEIFS(Raw_Training!$U$2:$U$61,Raw_Training!$A$2:$A$61,$A6,Raw_Training!$C$2:$C$61,$C6),"")</f>
        <v>1997507</v>
      </c>
      <c r="Q6" s="6" t="n">
        <f aca="false">IFERROR(AVERAGEIFS(Raw_Communication!$F$2:$F$61,Raw_Communication!$A$2:$A$61,$A6,Raw_Communication!$C$2:$C$61,$C6),"")</f>
        <v>0.07366</v>
      </c>
      <c r="R6" s="6" t="n">
        <f aca="false">IFERROR(AVERAGEIFS(Raw_RAM!$E$2:$E$31,Raw_RAM!$A$2:$A$31,$A6,Raw_RAM!$C$2:$C$31,$C6,Raw_RAM!$D$2:$D$31,"Client 0"),"")</f>
        <v>394.7</v>
      </c>
      <c r="S6" s="6" t="n">
        <f aca="false">IFERROR(AVERAGEIFS(Raw_RAM!$E$2:$E$31,Raw_RAM!$A$2:$A$31,$A6,Raw_RAM!$C$2:$C$31,$C6,Raw_RAM!$D$2:$D$31,"Client 1"),"")</f>
        <v>392.8</v>
      </c>
      <c r="T6" s="6" t="n">
        <f aca="false">IFERROR(AVERAGEIFS(Raw_RAM!$E$2:$E$31,Raw_RAM!$A$2:$A$31,$A6,Raw_RAM!$C$2:$C$31,$C6,Raw_RAM!$D$2:$D$31,"Server (aggregation)"),"")</f>
        <v>51.5</v>
      </c>
      <c r="U6" s="6" t="n">
        <f aca="false">IFERROR(AVERAGEIFS(Raw_Aggregation!$E$2:$E$31,Raw_Aggregation!$A$2:$A$31,$A6,Raw_Aggregation!$C$2:$C$31,$C6),"")</f>
        <v>0.01256</v>
      </c>
      <c r="V6" s="6" t="n">
        <f aca="false">IFERROR(AVERAGEIFS(Raw_Aggregation!$F$2:$F$31,Raw_Aggregation!$A$2:$A$31,$A6,Raw_Aggregation!$C$2:$C$31,$C6),"")</f>
        <v>0.00170333333333333</v>
      </c>
      <c r="W6" s="6" t="str">
        <f aca="false">IFERROR(AVERAGEIFS(Raw_Aggregation!$G$2:$G$31,Raw_Aggregation!$A$2:$A$31,$A6,Raw_Aggregation!$C$2:$C$31,$C6),"")</f>
        <v/>
      </c>
      <c r="X6" s="6" t="str">
        <f aca="false">IFERROR(AVERAGEIFS(Raw_Aggregation!$H$2:$H$31,Raw_Aggregation!$A$2:$A$31,$A6,Raw_Aggregation!$C$2:$C$31,$C6),"")</f>
        <v/>
      </c>
      <c r="Y6" s="6" t="str">
        <f aca="false">IFERROR(AVERAGEIFS(Raw_Aggregation!$I$2:$I$31,Raw_Aggregation!$A$2:$A$31,$A6,Raw_Aggregation!$C$2:$C$31,$C6),"")</f>
        <v/>
      </c>
      <c r="Z6" s="6" t="n">
        <f aca="false">IFERROR(AVERAGEIFS(Raw_Training!$W$2:$W$61,Raw_Training!$A$2:$A$61,$A6,Raw_Training!$C$2:$C$61,$C6,Raw_Training!$E$2:$E$61,0),"")</f>
        <v>142.127233333333</v>
      </c>
      <c r="AA6" s="6" t="n">
        <f aca="false">IFERROR(AVERAGEIFS(Raw_Training!$W$2:$W$61,Raw_Training!$A$2:$A$61,$A6,Raw_Training!$C$2:$C$61,$C6,Raw_Training!$E$2:$E$61,1),"")</f>
        <v>110.838766666667</v>
      </c>
    </row>
    <row r="7" customFormat="false" ht="15" hidden="false" customHeight="false" outlineLevel="0" collapsed="false">
      <c r="A7" s="7" t="s">
        <v>48</v>
      </c>
      <c r="B7" s="7" t="s">
        <v>49</v>
      </c>
      <c r="C7" s="7" t="s">
        <v>45</v>
      </c>
      <c r="D7" s="7" t="n">
        <v>0.5</v>
      </c>
      <c r="E7" s="7" t="n">
        <v>79688</v>
      </c>
      <c r="F7" s="7" t="n">
        <v>37</v>
      </c>
      <c r="G7" s="7" t="n">
        <v>31332</v>
      </c>
      <c r="H7" s="7" t="n">
        <v>26566</v>
      </c>
      <c r="I7" s="8" t="n">
        <f aca="false">IFERROR(AVERAGEIFS(Raw_Training!$J$2:$J$61,Raw_Training!$A$2:$A$61,$A7,Raw_Training!$C$2:$C$61,$C7,Raw_Training!$E$2:$E$61,0),"")</f>
        <v>604.727466666667</v>
      </c>
      <c r="J7" s="7" t="n">
        <f aca="false">IFERROR(AVERAGEIFS(Raw_Training!$J$2:$J$61,Raw_Training!$A$2:$A$61,$A7,Raw_Training!$C$2:$C$61,$C7,Raw_Training!$E$2:$E$61,1),"")</f>
        <v>353.380866666667</v>
      </c>
      <c r="K7" s="8" t="str">
        <f aca="false">IFERROR(AVERAGEIFS(Raw_Training!$I$2:$I$61,Raw_Training!$A$2:$A$61,$A7,Raw_Training!$C$2:$C$61,$C7),"")</f>
        <v/>
      </c>
      <c r="L7" s="8" t="n">
        <f aca="false">IFERROR(AVERAGEIFS(Raw_Training!$K$2:$K$61,Raw_Training!$A$2:$A$61,$A7,Raw_Training!$C$2:$C$61,$C7),"")</f>
        <v>0.0665833333333333</v>
      </c>
      <c r="M7" s="8" t="str">
        <f aca="false">IFERROR(AVERAGEIFS(Raw_Training!$L$2:$L$61,Raw_Training!$A$2:$A$61,$A7,Raw_Training!$C$2:$C$61,$C7),"")</f>
        <v/>
      </c>
      <c r="N7" s="8" t="n">
        <f aca="false">IFERROR(AVERAGEIFS(Raw_Training!$S$2:$S$61,Raw_Training!$A$2:$A$61,$A7,Raw_Training!$C$2:$C$61,$C7),"")</f>
        <v>0.207068333333333</v>
      </c>
      <c r="O7" s="8" t="n">
        <f aca="false">IFERROR(AVERAGEIFS(Raw_Training!$T$2:$T$61,Raw_Training!$A$2:$A$61,$A7,Raw_Training!$C$2:$C$61,$C7),"")</f>
        <v>0.132985</v>
      </c>
      <c r="P7" s="8" t="n">
        <f aca="false">IFERROR(AVERAGEIFS(Raw_Training!$U$2:$U$61,Raw_Training!$A$2:$A$61,$A7,Raw_Training!$C$2:$C$61,$C7),"")</f>
        <v>1997686.83333333</v>
      </c>
      <c r="Q7" s="8" t="n">
        <f aca="false">IFERROR(AVERAGEIFS(Raw_Communication!$F$2:$F$61,Raw_Communication!$A$2:$A$61,$A7,Raw_Communication!$C$2:$C$61,$C7),"")</f>
        <v>0.12113</v>
      </c>
      <c r="R7" s="8" t="n">
        <f aca="false">IFERROR(AVERAGEIFS(Raw_RAM!$E$2:$E$31,Raw_RAM!$A$2:$A$31,$A7,Raw_RAM!$C$2:$C$31,$C7,Raw_RAM!$D$2:$D$31,"Client 0"),"")</f>
        <v>395.2</v>
      </c>
      <c r="S7" s="8" t="n">
        <f aca="false">IFERROR(AVERAGEIFS(Raw_RAM!$E$2:$E$31,Raw_RAM!$A$2:$A$31,$A7,Raw_RAM!$C$2:$C$31,$C7,Raw_RAM!$D$2:$D$31,"Client 1"),"")</f>
        <v>392.6</v>
      </c>
      <c r="T7" s="8" t="n">
        <f aca="false">IFERROR(AVERAGEIFS(Raw_RAM!$E$2:$E$31,Raw_RAM!$A$2:$A$31,$A7,Raw_RAM!$C$2:$C$31,$C7,Raw_RAM!$D$2:$D$31,"Server (aggregation)"),"")</f>
        <v>53.9</v>
      </c>
      <c r="U7" s="8" t="n">
        <f aca="false">IFERROR(AVERAGEIFS(Raw_Aggregation!$E$2:$E$31,Raw_Aggregation!$A$2:$A$31,$A7,Raw_Aggregation!$C$2:$C$31,$C7),"")</f>
        <v>0.0339833333333333</v>
      </c>
      <c r="V7" s="8" t="n">
        <f aca="false">IFERROR(AVERAGEIFS(Raw_Aggregation!$F$2:$F$31,Raw_Aggregation!$A$2:$A$31,$A7,Raw_Aggregation!$C$2:$C$31,$C7),"")</f>
        <v>0.002</v>
      </c>
      <c r="W7" s="8" t="str">
        <f aca="false">IFERROR(AVERAGEIFS(Raw_Aggregation!$G$2:$G$31,Raw_Aggregation!$A$2:$A$31,$A7,Raw_Aggregation!$C$2:$C$31,$C7),"")</f>
        <v/>
      </c>
      <c r="X7" s="8" t="str">
        <f aca="false">IFERROR(AVERAGEIFS(Raw_Aggregation!$H$2:$H$31,Raw_Aggregation!$A$2:$A$31,$A7,Raw_Aggregation!$C$2:$C$31,$C7),"")</f>
        <v/>
      </c>
      <c r="Y7" s="8" t="str">
        <f aca="false">IFERROR(AVERAGEIFS(Raw_Aggregation!$I$2:$I$31,Raw_Aggregation!$A$2:$A$31,$A7,Raw_Aggregation!$C$2:$C$31,$C7),"")</f>
        <v/>
      </c>
      <c r="Z7" s="8" t="n">
        <f aca="false">IFERROR(AVERAGEIFS(Raw_Training!$W$2:$W$61,Raw_Training!$A$2:$A$61,$A7,Raw_Training!$C$2:$C$61,$C7,Raw_Training!$E$2:$E$61,0),"")</f>
        <v>606.326366666667</v>
      </c>
      <c r="AA7" s="8" t="n">
        <f aca="false">IFERROR(AVERAGEIFS(Raw_Training!$W$2:$W$61,Raw_Training!$A$2:$A$61,$A7,Raw_Training!$C$2:$C$61,$C7,Raw_Training!$E$2:$E$61,1),"")</f>
        <v>354.956566666667</v>
      </c>
    </row>
    <row r="8" customFormat="false" ht="15" hidden="false" customHeight="false" outlineLevel="0" collapsed="false">
      <c r="A8" s="5" t="s">
        <v>50</v>
      </c>
      <c r="B8" s="5" t="s">
        <v>51</v>
      </c>
      <c r="C8" s="5" t="s">
        <v>44</v>
      </c>
      <c r="D8" s="5" t="n">
        <v>1</v>
      </c>
      <c r="E8" s="5" t="n">
        <v>79688</v>
      </c>
      <c r="F8" s="5" t="n">
        <v>37</v>
      </c>
      <c r="G8" s="5" t="n">
        <v>31332</v>
      </c>
      <c r="H8" s="5" t="n">
        <v>26566</v>
      </c>
      <c r="I8" s="6" t="n">
        <f aca="false">IFERROR(AVERAGEIFS(Raw_Training!$J$2:$J$61,Raw_Training!$A$2:$A$61,$A8,Raw_Training!$C$2:$C$61,$C8,Raw_Training!$E$2:$E$61,0),"")</f>
        <v>154.944566666667</v>
      </c>
      <c r="J8" s="5" t="n">
        <f aca="false">IFERROR(AVERAGEIFS(Raw_Training!$J$2:$J$61,Raw_Training!$A$2:$A$61,$A8,Raw_Training!$C$2:$C$61,$C8,Raw_Training!$E$2:$E$61,1),"")</f>
        <v>119.166233333333</v>
      </c>
      <c r="K8" s="6" t="str">
        <f aca="false">IFERROR(AVERAGEIFS(Raw_Training!$I$2:$I$61,Raw_Training!$A$2:$A$61,$A8,Raw_Training!$C$2:$C$61,$C8),"")</f>
        <v/>
      </c>
      <c r="L8" s="6" t="n">
        <f aca="false">IFERROR(AVERAGEIFS(Raw_Training!$K$2:$K$61,Raw_Training!$A$2:$A$61,$A8,Raw_Training!$C$2:$C$61,$C8),"")</f>
        <v>0.0532833333333333</v>
      </c>
      <c r="M8" s="6" t="n">
        <f aca="false">IFERROR(AVERAGEIFS(Raw_Training!$L$2:$L$61,Raw_Training!$A$2:$A$61,$A8,Raw_Training!$C$2:$C$61,$C8),"")</f>
        <v>0.00555</v>
      </c>
      <c r="N8" s="6" t="n">
        <f aca="false">IFERROR(AVERAGEIFS(Raw_Training!$S$2:$S$61,Raw_Training!$A$2:$A$61,$A8,Raw_Training!$C$2:$C$61,$C8),"")</f>
        <v>0.123431666666667</v>
      </c>
      <c r="O8" s="6" t="n">
        <f aca="false">IFERROR(AVERAGEIFS(Raw_Training!$T$2:$T$61,Raw_Training!$A$2:$A$61,$A8,Raw_Training!$C$2:$C$61,$C8),"")</f>
        <v>0.0839416666666667</v>
      </c>
      <c r="P8" s="6" t="n">
        <f aca="false">IFERROR(AVERAGEIFS(Raw_Training!$U$2:$U$61,Raw_Training!$A$2:$A$61,$A8,Raw_Training!$C$2:$C$61,$C8),"")</f>
        <v>1997583.33333333</v>
      </c>
      <c r="Q8" s="6" t="n">
        <f aca="false">IFERROR(AVERAGEIFS(Raw_Communication!$F$2:$F$61,Raw_Communication!$A$2:$A$61,$A8,Raw_Communication!$C$2:$C$61,$C8),"")</f>
        <v>0.0735433333333333</v>
      </c>
      <c r="R8" s="6" t="n">
        <f aca="false">IFERROR(AVERAGEIFS(Raw_RAM!$E$2:$E$31,Raw_RAM!$A$2:$A$31,$A8,Raw_RAM!$C$2:$C$31,$C8,Raw_RAM!$D$2:$D$31,"Client 0"),"")</f>
        <v>394.4</v>
      </c>
      <c r="S8" s="6" t="n">
        <f aca="false">IFERROR(AVERAGEIFS(Raw_RAM!$E$2:$E$31,Raw_RAM!$A$2:$A$31,$A8,Raw_RAM!$C$2:$C$31,$C8,Raw_RAM!$D$2:$D$31,"Client 1"),"")</f>
        <v>393.5</v>
      </c>
      <c r="T8" s="6" t="n">
        <f aca="false">IFERROR(AVERAGEIFS(Raw_RAM!$E$2:$E$31,Raw_RAM!$A$2:$A$31,$A8,Raw_RAM!$C$2:$C$31,$C8,Raw_RAM!$D$2:$D$31,"Server (aggregation)"),"")</f>
        <v>60.6</v>
      </c>
      <c r="U8" s="6" t="n">
        <f aca="false">IFERROR(AVERAGEIFS(Raw_Aggregation!$E$2:$E$31,Raw_Aggregation!$A$2:$A$31,$A8,Raw_Aggregation!$C$2:$C$31,$C8),"")</f>
        <v>0.0125933333333333</v>
      </c>
      <c r="V8" s="6" t="n">
        <f aca="false">IFERROR(AVERAGEIFS(Raw_Aggregation!$F$2:$F$31,Raw_Aggregation!$A$2:$A$31,$A8,Raw_Aggregation!$C$2:$C$31,$C8),"")</f>
        <v>0.00169333333333333</v>
      </c>
      <c r="W8" s="6" t="n">
        <f aca="false">IFERROR(AVERAGEIFS(Raw_Aggregation!$G$2:$G$31,Raw_Aggregation!$A$2:$A$31,$A8,Raw_Aggregation!$C$2:$C$31,$C8),"")</f>
        <v>0.00119333333333333</v>
      </c>
      <c r="X8" s="6" t="n">
        <f aca="false">IFERROR(AVERAGEIFS(Raw_Aggregation!$H$2:$H$31,Raw_Aggregation!$A$2:$A$31,$A8,Raw_Aggregation!$C$2:$C$31,$C8),"")</f>
        <v>0.01111</v>
      </c>
      <c r="Y8" s="6" t="str">
        <f aca="false">IFERROR(AVERAGEIFS(Raw_Aggregation!$I$2:$I$31,Raw_Aggregation!$A$2:$A$31,$A8,Raw_Aggregation!$C$2:$C$31,$C8),"")</f>
        <v/>
      </c>
      <c r="Z8" s="6" t="n">
        <f aca="false">IFERROR(AVERAGEIFS(Raw_Training!$W$2:$W$61,Raw_Training!$A$2:$A$61,$A8,Raw_Training!$C$2:$C$61,$C8,Raw_Training!$E$2:$E$61,0),"")</f>
        <v>156.205166666667</v>
      </c>
      <c r="AA8" s="6" t="n">
        <f aca="false">IFERROR(AVERAGEIFS(Raw_Training!$W$2:$W$61,Raw_Training!$A$2:$A$61,$A8,Raw_Training!$C$2:$C$61,$C8,Raw_Training!$E$2:$E$61,1),"")</f>
        <v>120.466766666667</v>
      </c>
    </row>
    <row r="9" customFormat="false" ht="15" hidden="false" customHeight="false" outlineLevel="0" collapsed="false">
      <c r="A9" s="7" t="s">
        <v>50</v>
      </c>
      <c r="B9" s="7" t="s">
        <v>51</v>
      </c>
      <c r="C9" s="7" t="s">
        <v>45</v>
      </c>
      <c r="D9" s="7" t="n">
        <v>0.5</v>
      </c>
      <c r="E9" s="7" t="n">
        <v>79688</v>
      </c>
      <c r="F9" s="7" t="n">
        <v>37</v>
      </c>
      <c r="G9" s="7" t="n">
        <v>31332</v>
      </c>
      <c r="H9" s="7" t="n">
        <v>26566</v>
      </c>
      <c r="I9" s="8" t="n">
        <f aca="false">IFERROR(AVERAGEIFS(Raw_Training!$J$2:$J$61,Raw_Training!$A$2:$A$61,$A9,Raw_Training!$C$2:$C$61,$C9,Raw_Training!$E$2:$E$61,0),"")</f>
        <v>276.2496</v>
      </c>
      <c r="J9" s="7" t="n">
        <f aca="false">IFERROR(AVERAGEIFS(Raw_Training!$J$2:$J$61,Raw_Training!$A$2:$A$61,$A9,Raw_Training!$C$2:$C$61,$C9,Raw_Training!$E$2:$E$61,1),"")</f>
        <v>226.6175</v>
      </c>
      <c r="K9" s="8" t="str">
        <f aca="false">IFERROR(AVERAGEIFS(Raw_Training!$I$2:$I$61,Raw_Training!$A$2:$A$61,$A9,Raw_Training!$C$2:$C$61,$C9),"")</f>
        <v/>
      </c>
      <c r="L9" s="8" t="n">
        <f aca="false">IFERROR(AVERAGEIFS(Raw_Training!$K$2:$K$61,Raw_Training!$A$2:$A$61,$A9,Raw_Training!$C$2:$C$61,$C9),"")</f>
        <v>0.0874333333333333</v>
      </c>
      <c r="M9" s="8" t="n">
        <f aca="false">IFERROR(AVERAGEIFS(Raw_Training!$L$2:$L$61,Raw_Training!$A$2:$A$61,$A9,Raw_Training!$C$2:$C$61,$C9),"")</f>
        <v>0.00318333333333333</v>
      </c>
      <c r="N9" s="8" t="n">
        <f aca="false">IFERROR(AVERAGEIFS(Raw_Training!$S$2:$S$61,Raw_Training!$A$2:$A$61,$A9,Raw_Training!$C$2:$C$61,$C9),"")</f>
        <v>0.188823333333333</v>
      </c>
      <c r="O9" s="8" t="n">
        <f aca="false">IFERROR(AVERAGEIFS(Raw_Training!$T$2:$T$61,Raw_Training!$A$2:$A$61,$A9,Raw_Training!$C$2:$C$61,$C9),"")</f>
        <v>0.131601666666667</v>
      </c>
      <c r="P9" s="8" t="n">
        <f aca="false">IFERROR(AVERAGEIFS(Raw_Training!$U$2:$U$61,Raw_Training!$A$2:$A$61,$A9,Raw_Training!$C$2:$C$61,$C9),"")</f>
        <v>1997261.16666667</v>
      </c>
      <c r="Q9" s="8" t="n">
        <f aca="false">IFERROR(AVERAGEIFS(Raw_Communication!$F$2:$F$61,Raw_Communication!$A$2:$A$61,$A9,Raw_Communication!$C$2:$C$61,$C9),"")</f>
        <v>0.119893333333333</v>
      </c>
      <c r="R9" s="8" t="n">
        <f aca="false">IFERROR(AVERAGEIFS(Raw_RAM!$E$2:$E$31,Raw_RAM!$A$2:$A$31,$A9,Raw_RAM!$C$2:$C$31,$C9,Raw_RAM!$D$2:$D$31,"Client 0"),"")</f>
        <v>397.3</v>
      </c>
      <c r="S9" s="8" t="n">
        <f aca="false">IFERROR(AVERAGEIFS(Raw_RAM!$E$2:$E$31,Raw_RAM!$A$2:$A$31,$A9,Raw_RAM!$C$2:$C$31,$C9,Raw_RAM!$D$2:$D$31,"Client 1"),"")</f>
        <v>392.6</v>
      </c>
      <c r="T9" s="8" t="n">
        <f aca="false">IFERROR(AVERAGEIFS(Raw_RAM!$E$2:$E$31,Raw_RAM!$A$2:$A$31,$A9,Raw_RAM!$C$2:$C$31,$C9,Raw_RAM!$D$2:$D$31,"Server (aggregation)"),"")</f>
        <v>60</v>
      </c>
      <c r="U9" s="8" t="n">
        <f aca="false">IFERROR(AVERAGEIFS(Raw_Aggregation!$E$2:$E$31,Raw_Aggregation!$A$2:$A$31,$A9,Raw_Aggregation!$C$2:$C$31,$C9),"")</f>
        <v>0.01459</v>
      </c>
      <c r="V9" s="8" t="n">
        <f aca="false">IFERROR(AVERAGEIFS(Raw_Aggregation!$F$2:$F$31,Raw_Aggregation!$A$2:$A$31,$A9,Raw_Aggregation!$C$2:$C$31,$C9),"")</f>
        <v>0.00212333333333333</v>
      </c>
      <c r="W9" s="8" t="n">
        <f aca="false">IFERROR(AVERAGEIFS(Raw_Aggregation!$G$2:$G$31,Raw_Aggregation!$A$2:$A$31,$A9,Raw_Aggregation!$C$2:$C$31,$C9),"")</f>
        <v>0.00155333333333333</v>
      </c>
      <c r="X9" s="8" t="n">
        <f aca="false">IFERROR(AVERAGEIFS(Raw_Aggregation!$H$2:$H$31,Raw_Aggregation!$A$2:$A$31,$A9,Raw_Aggregation!$C$2:$C$31,$C9),"")</f>
        <v>0.0252566666666667</v>
      </c>
      <c r="Y9" s="8" t="str">
        <f aca="false">IFERROR(AVERAGEIFS(Raw_Aggregation!$I$2:$I$31,Raw_Aggregation!$A$2:$A$31,$A9,Raw_Aggregation!$C$2:$C$31,$C9),"")</f>
        <v/>
      </c>
      <c r="Z9" s="8" t="n">
        <f aca="false">IFERROR(AVERAGEIFS(Raw_Training!$W$2:$W$61,Raw_Training!$A$2:$A$61,$A9,Raw_Training!$C$2:$C$61,$C9,Raw_Training!$E$2:$E$61,0),"")</f>
        <v>277.8051</v>
      </c>
      <c r="AA9" s="8" t="n">
        <f aca="false">IFERROR(AVERAGEIFS(Raw_Training!$W$2:$W$61,Raw_Training!$A$2:$A$61,$A9,Raw_Training!$C$2:$C$61,$C9,Raw_Training!$E$2:$E$61,1),"")</f>
        <v>228.286733333333</v>
      </c>
    </row>
    <row r="10" customFormat="false" ht="15" hidden="false" customHeight="false" outlineLevel="0" collapsed="false">
      <c r="A10" s="5" t="s">
        <v>52</v>
      </c>
      <c r="B10" s="5" t="s">
        <v>53</v>
      </c>
      <c r="C10" s="5" t="s">
        <v>44</v>
      </c>
      <c r="D10" s="5" t="n">
        <v>1</v>
      </c>
      <c r="E10" s="5" t="n">
        <v>79688</v>
      </c>
      <c r="F10" s="5" t="n">
        <v>37</v>
      </c>
      <c r="G10" s="5" t="n">
        <v>31332</v>
      </c>
      <c r="H10" s="5" t="n">
        <v>26566</v>
      </c>
      <c r="I10" s="6" t="n">
        <f aca="false">IFERROR(AVERAGEIFS(Raw_Training!$J$2:$J$61,Raw_Training!$A$2:$A$61,$A10,Raw_Training!$C$2:$C$61,$C10,Raw_Training!$E$2:$E$61,0),"")</f>
        <v>688.690033333333</v>
      </c>
      <c r="J10" s="5" t="n">
        <f aca="false">IFERROR(AVERAGEIFS(Raw_Training!$J$2:$J$61,Raw_Training!$A$2:$A$61,$A10,Raw_Training!$C$2:$C$61,$C10,Raw_Training!$E$2:$E$61,1),"")</f>
        <v>676.3904</v>
      </c>
      <c r="K10" s="6" t="n">
        <f aca="false">IFERROR(AVERAGEIFS(Raw_Training!$I$2:$I$61,Raw_Training!$A$2:$A$61,$A10,Raw_Training!$C$2:$C$61,$C10),"")</f>
        <v>1.19683333333333</v>
      </c>
      <c r="L10" s="6" t="str">
        <f aca="false">IFERROR(AVERAGEIFS(Raw_Training!$K$2:$K$61,Raw_Training!$A$2:$A$61,$A10,Raw_Training!$C$2:$C$61,$C10),"")</f>
        <v/>
      </c>
      <c r="M10" s="6" t="str">
        <f aca="false">IFERROR(AVERAGEIFS(Raw_Training!$L$2:$L$61,Raw_Training!$A$2:$A$61,$A10,Raw_Training!$C$2:$C$61,$C10),"")</f>
        <v/>
      </c>
      <c r="N10" s="6" t="n">
        <f aca="false">IFERROR(AVERAGEIFS(Raw_Training!$S$2:$S$61,Raw_Training!$A$2:$A$61,$A10,Raw_Training!$C$2:$C$61,$C10),"")</f>
        <v>0.200798333333333</v>
      </c>
      <c r="O10" s="6" t="n">
        <f aca="false">IFERROR(AVERAGEIFS(Raw_Training!$T$2:$T$61,Raw_Training!$A$2:$A$61,$A10,Raw_Training!$C$2:$C$61,$C10),"")</f>
        <v>0.132671666666667</v>
      </c>
      <c r="P10" s="6" t="n">
        <f aca="false">IFERROR(AVERAGEIFS(Raw_Training!$U$2:$U$61,Raw_Training!$A$2:$A$61,$A10,Raw_Training!$C$2:$C$61,$C10),"")</f>
        <v>2828816</v>
      </c>
      <c r="Q10" s="6" t="n">
        <f aca="false">IFERROR(AVERAGEIFS(Raw_Communication!$F$2:$F$61,Raw_Communication!$A$2:$A$61,$A10,Raw_Communication!$C$2:$C$61,$C10),"")</f>
        <v>0.120001666666667</v>
      </c>
      <c r="R10" s="6" t="n">
        <f aca="false">IFERROR(AVERAGEIFS(Raw_RAM!$E$2:$E$31,Raw_RAM!$A$2:$A$31,$A10,Raw_RAM!$C$2:$C$31,$C10,Raw_RAM!$D$2:$D$31,"Client 0"),"")</f>
        <v>799.4</v>
      </c>
      <c r="S10" s="6" t="n">
        <f aca="false">IFERROR(AVERAGEIFS(Raw_RAM!$E$2:$E$31,Raw_RAM!$A$2:$A$31,$A10,Raw_RAM!$C$2:$C$31,$C10,Raw_RAM!$D$2:$D$31,"Client 1"),"")</f>
        <v>784.1</v>
      </c>
      <c r="T10" s="6" t="n">
        <f aca="false">IFERROR(AVERAGEIFS(Raw_RAM!$E$2:$E$31,Raw_RAM!$A$2:$A$31,$A10,Raw_RAM!$C$2:$C$31,$C10,Raw_RAM!$D$2:$D$31,"Server (aggregation)"),"")</f>
        <v>76.7</v>
      </c>
      <c r="U10" s="6" t="str">
        <f aca="false">IFERROR(AVERAGEIFS(Raw_Aggregation!$E$2:$E$31,Raw_Aggregation!$A$2:$A$31,$A10,Raw_Aggregation!$C$2:$C$31,$C10),"")</f>
        <v/>
      </c>
      <c r="V10" s="6" t="str">
        <f aca="false">IFERROR(AVERAGEIFS(Raw_Aggregation!$F$2:$F$31,Raw_Aggregation!$A$2:$A$31,$A10,Raw_Aggregation!$C$2:$C$31,$C10),"")</f>
        <v/>
      </c>
      <c r="W10" s="6" t="str">
        <f aca="false">IFERROR(AVERAGEIFS(Raw_Aggregation!$G$2:$G$31,Raw_Aggregation!$A$2:$A$31,$A10,Raw_Aggregation!$C$2:$C$31,$C10),"")</f>
        <v/>
      </c>
      <c r="X10" s="6" t="str">
        <f aca="false">IFERROR(AVERAGEIFS(Raw_Aggregation!$H$2:$H$31,Raw_Aggregation!$A$2:$A$31,$A10,Raw_Aggregation!$C$2:$C$31,$C10),"")</f>
        <v/>
      </c>
      <c r="Y10" s="6" t="n">
        <f aca="false">IFERROR(AVERAGEIFS(Raw_Aggregation!$I$2:$I$31,Raw_Aggregation!$A$2:$A$31,$A10,Raw_Aggregation!$C$2:$C$31,$C10),"")</f>
        <v>0.03418</v>
      </c>
      <c r="Z10" s="6" t="n">
        <f aca="false">IFERROR(AVERAGEIFS(Raw_Training!$W$2:$W$61,Raw_Training!$A$2:$A$61,$A10,Raw_Training!$C$2:$C$61,$C10,Raw_Training!$E$2:$E$61,0),"")</f>
        <v>691.860533333333</v>
      </c>
      <c r="AA10" s="6" t="n">
        <f aca="false">IFERROR(AVERAGEIFS(Raw_Training!$W$2:$W$61,Raw_Training!$A$2:$A$61,$A10,Raw_Training!$C$2:$C$61,$C10,Raw_Training!$E$2:$E$61,1),"")</f>
        <v>679.961433333333</v>
      </c>
    </row>
    <row r="11" customFormat="false" ht="15" hidden="false" customHeight="false" outlineLevel="0" collapsed="false">
      <c r="A11" s="7" t="s">
        <v>52</v>
      </c>
      <c r="B11" s="7" t="s">
        <v>53</v>
      </c>
      <c r="C11" s="7" t="s">
        <v>45</v>
      </c>
      <c r="D11" s="7" t="n">
        <v>0.5</v>
      </c>
      <c r="E11" s="7" t="n">
        <v>79688</v>
      </c>
      <c r="F11" s="7" t="n">
        <v>37</v>
      </c>
      <c r="G11" s="7" t="n">
        <v>31332</v>
      </c>
      <c r="H11" s="7" t="n">
        <v>26566</v>
      </c>
      <c r="I11" s="8" t="n">
        <f aca="false">IFERROR(AVERAGEIFS(Raw_Training!$J$2:$J$61,Raw_Training!$A$2:$A$61,$A11,Raw_Training!$C$2:$C$61,$C11,Raw_Training!$E$2:$E$61,0),"")</f>
        <v>2630.09566666667</v>
      </c>
      <c r="J11" s="7" t="n">
        <f aca="false">IFERROR(AVERAGEIFS(Raw_Training!$J$2:$J$61,Raw_Training!$A$2:$A$61,$A11,Raw_Training!$C$2:$C$61,$C11,Raw_Training!$E$2:$E$61,1),"")</f>
        <v>2128.2966</v>
      </c>
      <c r="K11" s="8" t="n">
        <f aca="false">IFERROR(AVERAGEIFS(Raw_Training!$I$2:$I$61,Raw_Training!$A$2:$A$61,$A11,Raw_Training!$C$2:$C$61,$C11),"")</f>
        <v>2.50196666666667</v>
      </c>
      <c r="L11" s="8" t="str">
        <f aca="false">IFERROR(AVERAGEIFS(Raw_Training!$K$2:$K$61,Raw_Training!$A$2:$A$61,$A11,Raw_Training!$C$2:$C$61,$C11),"")</f>
        <v/>
      </c>
      <c r="M11" s="8" t="str">
        <f aca="false">IFERROR(AVERAGEIFS(Raw_Training!$L$2:$L$61,Raw_Training!$A$2:$A$61,$A11,Raw_Training!$C$2:$C$61,$C11),"")</f>
        <v/>
      </c>
      <c r="N11" s="8" t="n">
        <f aca="false">IFERROR(AVERAGEIFS(Raw_Training!$S$2:$S$61,Raw_Training!$A$2:$A$61,$A11,Raw_Training!$C$2:$C$61,$C11),"")</f>
        <v>0.394088333333333</v>
      </c>
      <c r="O11" s="8" t="n">
        <f aca="false">IFERROR(AVERAGEIFS(Raw_Training!$T$2:$T$61,Raw_Training!$A$2:$A$61,$A11,Raw_Training!$C$2:$C$61,$C11),"")</f>
        <v>0.497733333333333</v>
      </c>
      <c r="P11" s="8" t="n">
        <f aca="false">IFERROR(AVERAGEIFS(Raw_Training!$U$2:$U$61,Raw_Training!$A$2:$A$61,$A11,Raw_Training!$C$2:$C$61,$C11),"")</f>
        <v>2828776</v>
      </c>
      <c r="Q11" s="8" t="n">
        <f aca="false">IFERROR(AVERAGEIFS(Raw_Communication!$F$2:$F$61,Raw_Communication!$A$2:$A$61,$A11,Raw_Communication!$C$2:$C$61,$C11),"")</f>
        <v>0.342176666666667</v>
      </c>
      <c r="R11" s="8" t="n">
        <f aca="false">IFERROR(AVERAGEIFS(Raw_RAM!$E$2:$E$31,Raw_RAM!$A$2:$A$31,$A11,Raw_RAM!$C$2:$C$31,$C11,Raw_RAM!$D$2:$D$31,"Client 0"),"")</f>
        <v>798.8</v>
      </c>
      <c r="S11" s="8" t="n">
        <f aca="false">IFERROR(AVERAGEIFS(Raw_RAM!$E$2:$E$31,Raw_RAM!$A$2:$A$31,$A11,Raw_RAM!$C$2:$C$31,$C11,Raw_RAM!$D$2:$D$31,"Client 1"),"")</f>
        <v>792.6</v>
      </c>
      <c r="T11" s="8" t="n">
        <f aca="false">IFERROR(AVERAGEIFS(Raw_RAM!$E$2:$E$31,Raw_RAM!$A$2:$A$31,$A11,Raw_RAM!$C$2:$C$31,$C11,Raw_RAM!$D$2:$D$31,"Server (aggregation)"),"")</f>
        <v>76.7</v>
      </c>
      <c r="U11" s="8" t="str">
        <f aca="false">IFERROR(AVERAGEIFS(Raw_Aggregation!$E$2:$E$31,Raw_Aggregation!$A$2:$A$31,$A11,Raw_Aggregation!$C$2:$C$31,$C11),"")</f>
        <v/>
      </c>
      <c r="V11" s="8" t="str">
        <f aca="false">IFERROR(AVERAGEIFS(Raw_Aggregation!$F$2:$F$31,Raw_Aggregation!$A$2:$A$31,$A11,Raw_Aggregation!$C$2:$C$31,$C11),"")</f>
        <v/>
      </c>
      <c r="W11" s="8" t="str">
        <f aca="false">IFERROR(AVERAGEIFS(Raw_Aggregation!$G$2:$G$31,Raw_Aggregation!$A$2:$A$31,$A11,Raw_Aggregation!$C$2:$C$31,$C11),"")</f>
        <v/>
      </c>
      <c r="X11" s="8" t="str">
        <f aca="false">IFERROR(AVERAGEIFS(Raw_Aggregation!$H$2:$H$31,Raw_Aggregation!$A$2:$A$31,$A11,Raw_Aggregation!$C$2:$C$31,$C11),"")</f>
        <v/>
      </c>
      <c r="Y11" s="8" t="n">
        <f aca="false">IFERROR(AVERAGEIFS(Raw_Aggregation!$I$2:$I$31,Raw_Aggregation!$A$2:$A$31,$A11,Raw_Aggregation!$C$2:$C$31,$C11),"")</f>
        <v>0.0880933333333333</v>
      </c>
      <c r="Z11" s="8" t="n">
        <f aca="false">IFERROR(AVERAGEIFS(Raw_Training!$W$2:$W$61,Raw_Training!$A$2:$A$61,$A11,Raw_Training!$C$2:$C$61,$C11,Raw_Training!$E$2:$E$61,0),"")</f>
        <v>2636.65413333333</v>
      </c>
      <c r="AA11" s="8" t="n">
        <f aca="false">IFERROR(AVERAGEIFS(Raw_Training!$W$2:$W$61,Raw_Training!$A$2:$A$61,$A11,Raw_Training!$C$2:$C$61,$C11,Raw_Training!$E$2:$E$61,1),"")</f>
        <v>2134.94826666667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8" min="8" style="0" width="6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8"/>
    <col collapsed="false" customWidth="true" hidden="false" outlineLevel="0" max="16" min="15" style="0" width="12"/>
    <col collapsed="false" customWidth="true" hidden="false" outlineLevel="0" max="18" min="17" style="0" width="14"/>
    <col collapsed="false" customWidth="true" hidden="false" outlineLevel="0" max="19" min="19" style="0" width="12"/>
    <col collapsed="false" customWidth="true" hidden="false" outlineLevel="0" max="20" min="20" style="0" width="16"/>
    <col collapsed="false" customWidth="true" hidden="false" outlineLevel="0" max="22" min="21" style="0" width="12"/>
    <col collapsed="false" customWidth="true" hidden="false" outlineLevel="0" max="23" min="23" style="0" width="14"/>
  </cols>
  <sheetData>
    <row r="1" customFormat="false" ht="30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  <c r="J1" s="4" t="s">
        <v>59</v>
      </c>
      <c r="K1" s="4" t="s">
        <v>60</v>
      </c>
      <c r="L1" s="4" t="s">
        <v>61</v>
      </c>
      <c r="M1" s="4" t="s">
        <v>62</v>
      </c>
      <c r="N1" s="4" t="s">
        <v>63</v>
      </c>
      <c r="O1" s="4" t="s">
        <v>64</v>
      </c>
      <c r="P1" s="4" t="s">
        <v>65</v>
      </c>
      <c r="Q1" s="4" t="s">
        <v>66</v>
      </c>
      <c r="R1" s="4" t="s">
        <v>67</v>
      </c>
      <c r="S1" s="4" t="s">
        <v>68</v>
      </c>
      <c r="T1" s="4" t="s">
        <v>69</v>
      </c>
      <c r="U1" s="4" t="s">
        <v>70</v>
      </c>
      <c r="V1" s="4" t="s">
        <v>71</v>
      </c>
      <c r="W1" s="4" t="s">
        <v>72</v>
      </c>
    </row>
    <row r="2" customFormat="false" ht="15" hidden="false" customHeight="false" outlineLevel="0" collapsed="false">
      <c r="A2" s="5" t="s">
        <v>42</v>
      </c>
      <c r="B2" s="5" t="s">
        <v>43</v>
      </c>
      <c r="C2" s="5" t="s">
        <v>44</v>
      </c>
      <c r="D2" s="5" t="n">
        <v>1</v>
      </c>
      <c r="E2" s="5" t="n">
        <v>0</v>
      </c>
      <c r="F2" s="5" t="n">
        <v>31332</v>
      </c>
      <c r="G2" s="5" t="n">
        <v>7834</v>
      </c>
      <c r="H2" s="5" t="n">
        <v>1</v>
      </c>
      <c r="I2" s="5"/>
      <c r="J2" s="5" t="n">
        <v>126.9766</v>
      </c>
      <c r="K2" s="5"/>
      <c r="L2" s="5"/>
      <c r="M2" s="5"/>
      <c r="N2" s="5"/>
      <c r="O2" s="5"/>
      <c r="P2" s="5"/>
      <c r="Q2" s="5"/>
      <c r="R2" s="5"/>
      <c r="S2" s="5" t="n">
        <v>0.12079</v>
      </c>
      <c r="T2" s="5" t="n">
        <v>0.09108</v>
      </c>
      <c r="U2" s="5" t="n">
        <v>1756605</v>
      </c>
      <c r="V2" s="9" t="b">
        <f aca="false">TRUE()</f>
        <v>1</v>
      </c>
      <c r="W2" s="5" t="n">
        <v>128.0944</v>
      </c>
    </row>
    <row r="3" customFormat="false" ht="15" hidden="false" customHeight="false" outlineLevel="0" collapsed="false">
      <c r="A3" s="5" t="s">
        <v>42</v>
      </c>
      <c r="B3" s="5" t="s">
        <v>43</v>
      </c>
      <c r="C3" s="5" t="s">
        <v>44</v>
      </c>
      <c r="D3" s="5" t="n">
        <v>1</v>
      </c>
      <c r="E3" s="5" t="n">
        <v>0</v>
      </c>
      <c r="F3" s="5" t="n">
        <v>31332</v>
      </c>
      <c r="G3" s="5" t="n">
        <v>7834</v>
      </c>
      <c r="H3" s="5" t="n">
        <v>2</v>
      </c>
      <c r="I3" s="5"/>
      <c r="J3" s="5" t="n">
        <v>135.4661</v>
      </c>
      <c r="K3" s="5"/>
      <c r="L3" s="5"/>
      <c r="M3" s="5"/>
      <c r="N3" s="5"/>
      <c r="O3" s="5"/>
      <c r="P3" s="5"/>
      <c r="Q3" s="5"/>
      <c r="R3" s="5"/>
      <c r="S3" s="5" t="n">
        <v>0.12106</v>
      </c>
      <c r="T3" s="5" t="n">
        <v>0.08145</v>
      </c>
      <c r="U3" s="5" t="n">
        <v>1755544</v>
      </c>
      <c r="V3" s="9" t="b">
        <f aca="false">TRUE()</f>
        <v>1</v>
      </c>
      <c r="W3" s="5" t="n">
        <v>136.6903</v>
      </c>
    </row>
    <row r="4" customFormat="false" ht="15" hidden="false" customHeight="false" outlineLevel="0" collapsed="false">
      <c r="A4" s="5" t="s">
        <v>42</v>
      </c>
      <c r="B4" s="5" t="s">
        <v>43</v>
      </c>
      <c r="C4" s="5" t="s">
        <v>44</v>
      </c>
      <c r="D4" s="5" t="n">
        <v>1</v>
      </c>
      <c r="E4" s="5" t="n">
        <v>0</v>
      </c>
      <c r="F4" s="5" t="n">
        <v>31332</v>
      </c>
      <c r="G4" s="5" t="n">
        <v>7834</v>
      </c>
      <c r="H4" s="5" t="n">
        <v>3</v>
      </c>
      <c r="I4" s="5"/>
      <c r="J4" s="5" t="n">
        <v>141.4477</v>
      </c>
      <c r="K4" s="5"/>
      <c r="L4" s="5"/>
      <c r="M4" s="5"/>
      <c r="N4" s="5"/>
      <c r="O4" s="5"/>
      <c r="P4" s="5"/>
      <c r="Q4" s="5"/>
      <c r="R4" s="5"/>
      <c r="S4" s="5" t="n">
        <v>0.12051</v>
      </c>
      <c r="T4" s="5" t="n">
        <v>0.08139</v>
      </c>
      <c r="U4" s="5" t="n">
        <v>1754576</v>
      </c>
      <c r="V4" s="9" t="b">
        <f aca="false">TRUE()</f>
        <v>1</v>
      </c>
      <c r="W4" s="5" t="n">
        <v>142.6148</v>
      </c>
    </row>
    <row r="5" customFormat="false" ht="15" hidden="false" customHeight="false" outlineLevel="0" collapsed="false">
      <c r="A5" s="7" t="s">
        <v>42</v>
      </c>
      <c r="B5" s="7" t="s">
        <v>43</v>
      </c>
      <c r="C5" s="7" t="s">
        <v>44</v>
      </c>
      <c r="D5" s="7" t="n">
        <v>1</v>
      </c>
      <c r="E5" s="7" t="n">
        <v>1</v>
      </c>
      <c r="F5" s="7" t="n">
        <v>26566</v>
      </c>
      <c r="G5" s="7" t="n">
        <v>6642</v>
      </c>
      <c r="H5" s="7" t="n">
        <v>1</v>
      </c>
      <c r="I5" s="7"/>
      <c r="J5" s="7" t="n">
        <v>105.9923</v>
      </c>
      <c r="K5" s="7"/>
      <c r="L5" s="7"/>
      <c r="M5" s="7"/>
      <c r="N5" s="7"/>
      <c r="O5" s="7"/>
      <c r="P5" s="7"/>
      <c r="Q5" s="7"/>
      <c r="R5" s="7"/>
      <c r="S5" s="7" t="n">
        <v>0.12453</v>
      </c>
      <c r="T5" s="7" t="n">
        <v>0.09896</v>
      </c>
      <c r="U5" s="7" t="n">
        <v>1756663</v>
      </c>
      <c r="V5" s="10" t="b">
        <f aca="false">TRUE()</f>
        <v>1</v>
      </c>
      <c r="W5" s="7" t="n">
        <v>107.2019</v>
      </c>
    </row>
    <row r="6" customFormat="false" ht="15" hidden="false" customHeight="false" outlineLevel="0" collapsed="false">
      <c r="A6" s="7" t="s">
        <v>42</v>
      </c>
      <c r="B6" s="7" t="s">
        <v>43</v>
      </c>
      <c r="C6" s="7" t="s">
        <v>44</v>
      </c>
      <c r="D6" s="7" t="n">
        <v>1</v>
      </c>
      <c r="E6" s="7" t="n">
        <v>1</v>
      </c>
      <c r="F6" s="7" t="n">
        <v>26566</v>
      </c>
      <c r="G6" s="7" t="n">
        <v>6642</v>
      </c>
      <c r="H6" s="7" t="n">
        <v>2</v>
      </c>
      <c r="I6" s="7"/>
      <c r="J6" s="7" t="n">
        <v>101.966</v>
      </c>
      <c r="K6" s="7"/>
      <c r="L6" s="7"/>
      <c r="M6" s="7"/>
      <c r="N6" s="7"/>
      <c r="O6" s="7"/>
      <c r="P6" s="7"/>
      <c r="Q6" s="7"/>
      <c r="R6" s="7"/>
      <c r="S6" s="7" t="n">
        <v>0.13023</v>
      </c>
      <c r="T6" s="7" t="n">
        <v>0.07714</v>
      </c>
      <c r="U6" s="7" t="n">
        <v>1755840</v>
      </c>
      <c r="V6" s="10" t="b">
        <f aca="false">TRUE()</f>
        <v>1</v>
      </c>
      <c r="W6" s="7" t="n">
        <v>103.3142</v>
      </c>
    </row>
    <row r="7" customFormat="false" ht="15" hidden="false" customHeight="false" outlineLevel="0" collapsed="false">
      <c r="A7" s="7" t="s">
        <v>42</v>
      </c>
      <c r="B7" s="7" t="s">
        <v>43</v>
      </c>
      <c r="C7" s="7" t="s">
        <v>44</v>
      </c>
      <c r="D7" s="7" t="n">
        <v>1</v>
      </c>
      <c r="E7" s="7" t="n">
        <v>1</v>
      </c>
      <c r="F7" s="7" t="n">
        <v>26566</v>
      </c>
      <c r="G7" s="7" t="n">
        <v>6642</v>
      </c>
      <c r="H7" s="7" t="n">
        <v>3</v>
      </c>
      <c r="I7" s="7"/>
      <c r="J7" s="7" t="n">
        <v>100.6436</v>
      </c>
      <c r="K7" s="7"/>
      <c r="L7" s="7"/>
      <c r="M7" s="7"/>
      <c r="N7" s="7"/>
      <c r="O7" s="7"/>
      <c r="P7" s="7"/>
      <c r="Q7" s="7"/>
      <c r="R7" s="7"/>
      <c r="S7" s="7" t="n">
        <v>0.11916</v>
      </c>
      <c r="T7" s="7" t="n">
        <v>0.07491</v>
      </c>
      <c r="U7" s="7" t="n">
        <v>1755113</v>
      </c>
      <c r="V7" s="10" t="b">
        <f aca="false">TRUE()</f>
        <v>1</v>
      </c>
      <c r="W7" s="7" t="n">
        <v>102.2179</v>
      </c>
    </row>
    <row r="8" customFormat="false" ht="15" hidden="false" customHeight="false" outlineLevel="0" collapsed="false">
      <c r="A8" s="5" t="s">
        <v>42</v>
      </c>
      <c r="B8" s="5" t="s">
        <v>43</v>
      </c>
      <c r="C8" s="5" t="s">
        <v>45</v>
      </c>
      <c r="D8" s="5" t="n">
        <v>0.5</v>
      </c>
      <c r="E8" s="5" t="n">
        <v>0</v>
      </c>
      <c r="F8" s="5" t="n">
        <v>31332</v>
      </c>
      <c r="G8" s="5" t="n">
        <v>7834</v>
      </c>
      <c r="H8" s="5" t="n">
        <v>1</v>
      </c>
      <c r="I8" s="5"/>
      <c r="J8" s="5" t="n">
        <v>399.1857</v>
      </c>
      <c r="K8" s="5"/>
      <c r="L8" s="5"/>
      <c r="M8" s="5"/>
      <c r="N8" s="5"/>
      <c r="O8" s="5"/>
      <c r="P8" s="5"/>
      <c r="Q8" s="5"/>
      <c r="R8" s="5"/>
      <c r="S8" s="5" t="n">
        <v>0.22769</v>
      </c>
      <c r="T8" s="5" t="n">
        <v>0.11026</v>
      </c>
      <c r="U8" s="5" t="n">
        <v>1756649</v>
      </c>
      <c r="V8" s="9" t="b">
        <f aca="false">TRUE()</f>
        <v>1</v>
      </c>
      <c r="W8" s="5" t="n">
        <v>400.7938</v>
      </c>
    </row>
    <row r="9" customFormat="false" ht="15" hidden="false" customHeight="false" outlineLevel="0" collapsed="false">
      <c r="A9" s="5" t="s">
        <v>42</v>
      </c>
      <c r="B9" s="5" t="s">
        <v>43</v>
      </c>
      <c r="C9" s="5" t="s">
        <v>45</v>
      </c>
      <c r="D9" s="5" t="n">
        <v>0.5</v>
      </c>
      <c r="E9" s="5" t="n">
        <v>0</v>
      </c>
      <c r="F9" s="5" t="n">
        <v>31332</v>
      </c>
      <c r="G9" s="5" t="n">
        <v>7834</v>
      </c>
      <c r="H9" s="5" t="n">
        <v>2</v>
      </c>
      <c r="I9" s="5"/>
      <c r="J9" s="5" t="n">
        <v>448.2425</v>
      </c>
      <c r="K9" s="5"/>
      <c r="L9" s="5"/>
      <c r="M9" s="5"/>
      <c r="N9" s="5"/>
      <c r="O9" s="5"/>
      <c r="P9" s="5"/>
      <c r="Q9" s="5"/>
      <c r="R9" s="5"/>
      <c r="S9" s="5" t="n">
        <v>0.27065</v>
      </c>
      <c r="T9" s="5" t="n">
        <v>0.36789</v>
      </c>
      <c r="U9" s="5" t="n">
        <v>1755566</v>
      </c>
      <c r="V9" s="9" t="b">
        <f aca="false">TRUE()</f>
        <v>1</v>
      </c>
      <c r="W9" s="5" t="n">
        <v>450.0351</v>
      </c>
    </row>
    <row r="10" customFormat="false" ht="15" hidden="false" customHeight="false" outlineLevel="0" collapsed="false">
      <c r="A10" s="5" t="s">
        <v>42</v>
      </c>
      <c r="B10" s="5" t="s">
        <v>43</v>
      </c>
      <c r="C10" s="5" t="s">
        <v>45</v>
      </c>
      <c r="D10" s="5" t="n">
        <v>0.5</v>
      </c>
      <c r="E10" s="5" t="n">
        <v>0</v>
      </c>
      <c r="F10" s="5" t="n">
        <v>31332</v>
      </c>
      <c r="G10" s="5" t="n">
        <v>7834</v>
      </c>
      <c r="H10" s="5" t="n">
        <v>3</v>
      </c>
      <c r="I10" s="5"/>
      <c r="J10" s="5" t="n">
        <v>451.3578</v>
      </c>
      <c r="K10" s="5"/>
      <c r="L10" s="5"/>
      <c r="M10" s="5"/>
      <c r="N10" s="5"/>
      <c r="O10" s="5"/>
      <c r="P10" s="5"/>
      <c r="Q10" s="5"/>
      <c r="R10" s="5"/>
      <c r="S10" s="5" t="n">
        <v>0.1957</v>
      </c>
      <c r="T10" s="5" t="n">
        <v>0.07959</v>
      </c>
      <c r="U10" s="5" t="n">
        <v>1754799</v>
      </c>
      <c r="V10" s="9" t="b">
        <f aca="false">TRUE()</f>
        <v>1</v>
      </c>
      <c r="W10" s="5" t="n">
        <v>452.6623</v>
      </c>
    </row>
    <row r="11" customFormat="false" ht="15" hidden="false" customHeight="false" outlineLevel="0" collapsed="false">
      <c r="A11" s="7" t="s">
        <v>42</v>
      </c>
      <c r="B11" s="7" t="s">
        <v>43</v>
      </c>
      <c r="C11" s="7" t="s">
        <v>45</v>
      </c>
      <c r="D11" s="7" t="n">
        <v>0.5</v>
      </c>
      <c r="E11" s="7" t="n">
        <v>1</v>
      </c>
      <c r="F11" s="7" t="n">
        <v>26566</v>
      </c>
      <c r="G11" s="7" t="n">
        <v>6642</v>
      </c>
      <c r="H11" s="7" t="n">
        <v>1</v>
      </c>
      <c r="I11" s="7"/>
      <c r="J11" s="7" t="n">
        <v>458.6799</v>
      </c>
      <c r="K11" s="7"/>
      <c r="L11" s="7"/>
      <c r="M11" s="7"/>
      <c r="N11" s="7"/>
      <c r="O11" s="7"/>
      <c r="P11" s="7"/>
      <c r="Q11" s="7"/>
      <c r="R11" s="7"/>
      <c r="S11" s="7" t="n">
        <v>0.24105</v>
      </c>
      <c r="T11" s="7" t="n">
        <v>0.23357</v>
      </c>
      <c r="U11" s="7" t="n">
        <v>1756879</v>
      </c>
      <c r="V11" s="10" t="b">
        <f aca="false">TRUE()</f>
        <v>1</v>
      </c>
      <c r="W11" s="7" t="n">
        <v>460.2347</v>
      </c>
    </row>
    <row r="12" customFormat="false" ht="15" hidden="false" customHeight="false" outlineLevel="0" collapsed="false">
      <c r="A12" s="7" t="s">
        <v>42</v>
      </c>
      <c r="B12" s="7" t="s">
        <v>43</v>
      </c>
      <c r="C12" s="7" t="s">
        <v>45</v>
      </c>
      <c r="D12" s="7" t="n">
        <v>0.5</v>
      </c>
      <c r="E12" s="7" t="n">
        <v>1</v>
      </c>
      <c r="F12" s="7" t="n">
        <v>26566</v>
      </c>
      <c r="G12" s="7" t="n">
        <v>6642</v>
      </c>
      <c r="H12" s="7" t="n">
        <v>2</v>
      </c>
      <c r="I12" s="7"/>
      <c r="J12" s="7" t="n">
        <v>512.1855</v>
      </c>
      <c r="K12" s="7"/>
      <c r="L12" s="7"/>
      <c r="M12" s="7"/>
      <c r="N12" s="7"/>
      <c r="O12" s="7"/>
      <c r="P12" s="7"/>
      <c r="Q12" s="7"/>
      <c r="R12" s="7"/>
      <c r="S12" s="7" t="n">
        <v>0.17515</v>
      </c>
      <c r="T12" s="7" t="n">
        <v>0.12731</v>
      </c>
      <c r="U12" s="7" t="n">
        <v>1755833</v>
      </c>
      <c r="V12" s="10" t="b">
        <f aca="false">TRUE()</f>
        <v>1</v>
      </c>
      <c r="W12" s="7" t="n">
        <v>513.4538</v>
      </c>
    </row>
    <row r="13" customFormat="false" ht="15" hidden="false" customHeight="false" outlineLevel="0" collapsed="false">
      <c r="A13" s="7" t="s">
        <v>42</v>
      </c>
      <c r="B13" s="7" t="s">
        <v>43</v>
      </c>
      <c r="C13" s="7" t="s">
        <v>45</v>
      </c>
      <c r="D13" s="7" t="n">
        <v>0.5</v>
      </c>
      <c r="E13" s="7" t="n">
        <v>1</v>
      </c>
      <c r="F13" s="7" t="n">
        <v>26566</v>
      </c>
      <c r="G13" s="7" t="n">
        <v>6642</v>
      </c>
      <c r="H13" s="7" t="n">
        <v>3</v>
      </c>
      <c r="I13" s="7"/>
      <c r="J13" s="7" t="n">
        <v>521.9777</v>
      </c>
      <c r="K13" s="7"/>
      <c r="L13" s="7"/>
      <c r="M13" s="7"/>
      <c r="N13" s="7"/>
      <c r="O13" s="7"/>
      <c r="P13" s="7"/>
      <c r="Q13" s="7"/>
      <c r="R13" s="7"/>
      <c r="S13" s="7" t="n">
        <v>0.19576</v>
      </c>
      <c r="T13" s="7" t="n">
        <v>0.12575</v>
      </c>
      <c r="U13" s="7" t="n">
        <v>1754936</v>
      </c>
      <c r="V13" s="10" t="b">
        <f aca="false">TRUE()</f>
        <v>1</v>
      </c>
      <c r="W13" s="7" t="n">
        <v>524.0408</v>
      </c>
    </row>
    <row r="14" customFormat="false" ht="15" hidden="false" customHeight="false" outlineLevel="0" collapsed="false">
      <c r="A14" s="5" t="s">
        <v>46</v>
      </c>
      <c r="B14" s="5" t="s">
        <v>47</v>
      </c>
      <c r="C14" s="5" t="s">
        <v>44</v>
      </c>
      <c r="D14" s="5" t="n">
        <v>1</v>
      </c>
      <c r="E14" s="5" t="n">
        <v>0</v>
      </c>
      <c r="F14" s="5" t="n">
        <v>31332</v>
      </c>
      <c r="G14" s="5" t="n">
        <v>7834</v>
      </c>
      <c r="H14" s="5" t="n">
        <v>1</v>
      </c>
      <c r="I14" s="5"/>
      <c r="J14" s="5" t="n">
        <v>133.2797</v>
      </c>
      <c r="K14" s="5" t="n">
        <v>0.294</v>
      </c>
      <c r="L14" s="5"/>
      <c r="M14" s="5"/>
      <c r="N14" s="5" t="n">
        <v>40</v>
      </c>
      <c r="O14" s="5" t="n">
        <v>100</v>
      </c>
      <c r="P14" s="5"/>
      <c r="Q14" s="5"/>
      <c r="R14" s="5"/>
      <c r="S14" s="5" t="n">
        <v>0.03036</v>
      </c>
      <c r="T14" s="5" t="n">
        <v>0.06065</v>
      </c>
      <c r="U14" s="5" t="n">
        <v>4562330</v>
      </c>
      <c r="V14" s="9" t="b">
        <f aca="false">TRUE()</f>
        <v>1</v>
      </c>
      <c r="W14" s="5" t="n">
        <v>134.05</v>
      </c>
    </row>
    <row r="15" customFormat="false" ht="15" hidden="false" customHeight="false" outlineLevel="0" collapsed="false">
      <c r="A15" s="5" t="s">
        <v>46</v>
      </c>
      <c r="B15" s="5" t="s">
        <v>47</v>
      </c>
      <c r="C15" s="5" t="s">
        <v>44</v>
      </c>
      <c r="D15" s="5" t="n">
        <v>1</v>
      </c>
      <c r="E15" s="5" t="n">
        <v>0</v>
      </c>
      <c r="F15" s="5" t="n">
        <v>31332</v>
      </c>
      <c r="G15" s="5" t="n">
        <v>7834</v>
      </c>
      <c r="H15" s="5" t="n">
        <v>2</v>
      </c>
      <c r="I15" s="5"/>
      <c r="J15" s="5" t="n">
        <v>132.3062</v>
      </c>
      <c r="K15" s="5" t="n">
        <v>0.4178</v>
      </c>
      <c r="L15" s="5"/>
      <c r="M15" s="5"/>
      <c r="N15" s="5" t="n">
        <v>40</v>
      </c>
      <c r="O15" s="5" t="n">
        <v>100</v>
      </c>
      <c r="P15" s="5"/>
      <c r="Q15" s="5"/>
      <c r="R15" s="5"/>
      <c r="S15" s="5" t="n">
        <v>0.03181</v>
      </c>
      <c r="T15" s="5" t="n">
        <v>0.03575</v>
      </c>
      <c r="U15" s="5" t="n">
        <v>4563330</v>
      </c>
      <c r="V15" s="9" t="b">
        <f aca="false">TRUE()</f>
        <v>1</v>
      </c>
      <c r="W15" s="5" t="n">
        <v>132.9805</v>
      </c>
    </row>
    <row r="16" customFormat="false" ht="15" hidden="false" customHeight="false" outlineLevel="0" collapsed="false">
      <c r="A16" s="5" t="s">
        <v>46</v>
      </c>
      <c r="B16" s="5" t="s">
        <v>47</v>
      </c>
      <c r="C16" s="5" t="s">
        <v>44</v>
      </c>
      <c r="D16" s="5" t="n">
        <v>1</v>
      </c>
      <c r="E16" s="5" t="n">
        <v>0</v>
      </c>
      <c r="F16" s="5" t="n">
        <v>31332</v>
      </c>
      <c r="G16" s="5" t="n">
        <v>7834</v>
      </c>
      <c r="H16" s="5" t="n">
        <v>3</v>
      </c>
      <c r="I16" s="5"/>
      <c r="J16" s="5" t="n">
        <v>139.3151</v>
      </c>
      <c r="K16" s="5" t="n">
        <v>0.2918</v>
      </c>
      <c r="L16" s="5"/>
      <c r="M16" s="5"/>
      <c r="N16" s="5" t="n">
        <v>40</v>
      </c>
      <c r="O16" s="5" t="n">
        <v>100</v>
      </c>
      <c r="P16" s="5"/>
      <c r="Q16" s="5"/>
      <c r="R16" s="5"/>
      <c r="S16" s="5" t="n">
        <v>0.02715</v>
      </c>
      <c r="T16" s="5" t="n">
        <v>0.03917</v>
      </c>
      <c r="U16" s="5" t="n">
        <v>4562874</v>
      </c>
      <c r="V16" s="9" t="b">
        <f aca="false">TRUE()</f>
        <v>1</v>
      </c>
      <c r="W16" s="5" t="n">
        <v>140.0311</v>
      </c>
    </row>
    <row r="17" customFormat="false" ht="15" hidden="false" customHeight="false" outlineLevel="0" collapsed="false">
      <c r="A17" s="7" t="s">
        <v>46</v>
      </c>
      <c r="B17" s="7" t="s">
        <v>47</v>
      </c>
      <c r="C17" s="7" t="s">
        <v>44</v>
      </c>
      <c r="D17" s="7" t="n">
        <v>1</v>
      </c>
      <c r="E17" s="7" t="n">
        <v>1</v>
      </c>
      <c r="F17" s="7" t="n">
        <v>26566</v>
      </c>
      <c r="G17" s="7" t="n">
        <v>6642</v>
      </c>
      <c r="H17" s="7" t="n">
        <v>1</v>
      </c>
      <c r="I17" s="7"/>
      <c r="J17" s="7" t="n">
        <v>73.8445</v>
      </c>
      <c r="K17" s="7" t="n">
        <v>0.2791</v>
      </c>
      <c r="L17" s="7"/>
      <c r="M17" s="7"/>
      <c r="N17" s="7" t="n">
        <v>40</v>
      </c>
      <c r="O17" s="7" t="n">
        <v>100</v>
      </c>
      <c r="P17" s="7"/>
      <c r="Q17" s="7"/>
      <c r="R17" s="7"/>
      <c r="S17" s="7" t="n">
        <v>0.0306</v>
      </c>
      <c r="T17" s="7" t="n">
        <v>0.05504</v>
      </c>
      <c r="U17" s="7" t="n">
        <v>4563210</v>
      </c>
      <c r="V17" s="10" t="b">
        <f aca="false">TRUE()</f>
        <v>1</v>
      </c>
      <c r="W17" s="7" t="n">
        <v>74.5978</v>
      </c>
    </row>
    <row r="18" customFormat="false" ht="15" hidden="false" customHeight="false" outlineLevel="0" collapsed="false">
      <c r="A18" s="7" t="s">
        <v>46</v>
      </c>
      <c r="B18" s="7" t="s">
        <v>47</v>
      </c>
      <c r="C18" s="7" t="s">
        <v>44</v>
      </c>
      <c r="D18" s="7" t="n">
        <v>1</v>
      </c>
      <c r="E18" s="7" t="n">
        <v>1</v>
      </c>
      <c r="F18" s="7" t="n">
        <v>26566</v>
      </c>
      <c r="G18" s="7" t="n">
        <v>6642</v>
      </c>
      <c r="H18" s="7" t="n">
        <v>2</v>
      </c>
      <c r="I18" s="7"/>
      <c r="J18" s="7" t="n">
        <v>86.332</v>
      </c>
      <c r="K18" s="7" t="n">
        <v>0.3676</v>
      </c>
      <c r="L18" s="7"/>
      <c r="M18" s="7"/>
      <c r="N18" s="7" t="n">
        <v>40</v>
      </c>
      <c r="O18" s="7" t="n">
        <v>100</v>
      </c>
      <c r="P18" s="7"/>
      <c r="Q18" s="7"/>
      <c r="R18" s="7"/>
      <c r="S18" s="7" t="n">
        <v>0.04067</v>
      </c>
      <c r="T18" s="7" t="n">
        <v>0.03896</v>
      </c>
      <c r="U18" s="7" t="n">
        <v>4562842</v>
      </c>
      <c r="V18" s="10" t="b">
        <f aca="false">TRUE()</f>
        <v>1</v>
      </c>
      <c r="W18" s="7" t="n">
        <v>87.0644</v>
      </c>
    </row>
    <row r="19" customFormat="false" ht="15" hidden="false" customHeight="false" outlineLevel="0" collapsed="false">
      <c r="A19" s="7" t="s">
        <v>46</v>
      </c>
      <c r="B19" s="7" t="s">
        <v>47</v>
      </c>
      <c r="C19" s="7" t="s">
        <v>44</v>
      </c>
      <c r="D19" s="7" t="n">
        <v>1</v>
      </c>
      <c r="E19" s="7" t="n">
        <v>1</v>
      </c>
      <c r="F19" s="7" t="n">
        <v>26566</v>
      </c>
      <c r="G19" s="7" t="n">
        <v>6642</v>
      </c>
      <c r="H19" s="7" t="n">
        <v>3</v>
      </c>
      <c r="I19" s="7"/>
      <c r="J19" s="7" t="n">
        <v>86.5603</v>
      </c>
      <c r="K19" s="7" t="n">
        <v>0.3664</v>
      </c>
      <c r="L19" s="7"/>
      <c r="M19" s="7"/>
      <c r="N19" s="7" t="n">
        <v>40</v>
      </c>
      <c r="O19" s="7" t="n">
        <v>100</v>
      </c>
      <c r="P19" s="7"/>
      <c r="Q19" s="7"/>
      <c r="R19" s="7"/>
      <c r="S19" s="7" t="n">
        <v>0.02763</v>
      </c>
      <c r="T19" s="7" t="n">
        <v>0.03407</v>
      </c>
      <c r="U19" s="7" t="n">
        <v>4562738</v>
      </c>
      <c r="V19" s="10" t="b">
        <f aca="false">TRUE()</f>
        <v>1</v>
      </c>
      <c r="W19" s="7" t="n">
        <v>87.2364</v>
      </c>
    </row>
    <row r="20" customFormat="false" ht="15" hidden="false" customHeight="false" outlineLevel="0" collapsed="false">
      <c r="A20" s="5" t="s">
        <v>46</v>
      </c>
      <c r="B20" s="5" t="s">
        <v>47</v>
      </c>
      <c r="C20" s="5" t="s">
        <v>45</v>
      </c>
      <c r="D20" s="5" t="n">
        <v>0.5</v>
      </c>
      <c r="E20" s="5" t="n">
        <v>0</v>
      </c>
      <c r="F20" s="5" t="n">
        <v>31332</v>
      </c>
      <c r="G20" s="5" t="n">
        <v>7834</v>
      </c>
      <c r="H20" s="5" t="n">
        <v>1</v>
      </c>
      <c r="I20" s="5"/>
      <c r="J20" s="5" t="n">
        <v>629.0293</v>
      </c>
      <c r="K20" s="5" t="n">
        <v>0.6028</v>
      </c>
      <c r="L20" s="5"/>
      <c r="M20" s="5"/>
      <c r="N20" s="5" t="n">
        <v>40</v>
      </c>
      <c r="O20" s="5" t="n">
        <v>100</v>
      </c>
      <c r="P20" s="5"/>
      <c r="Q20" s="5"/>
      <c r="R20" s="5"/>
      <c r="S20" s="5" t="n">
        <v>0.02297</v>
      </c>
      <c r="T20" s="5" t="n">
        <v>0.04823</v>
      </c>
      <c r="U20" s="5" t="n">
        <v>4563010</v>
      </c>
      <c r="V20" s="9" t="b">
        <f aca="false">TRUE()</f>
        <v>1</v>
      </c>
      <c r="W20" s="5" t="n">
        <v>630.3041</v>
      </c>
    </row>
    <row r="21" customFormat="false" ht="15" hidden="false" customHeight="false" outlineLevel="0" collapsed="false">
      <c r="A21" s="5" t="s">
        <v>46</v>
      </c>
      <c r="B21" s="5" t="s">
        <v>47</v>
      </c>
      <c r="C21" s="5" t="s">
        <v>45</v>
      </c>
      <c r="D21" s="5" t="n">
        <v>0.5</v>
      </c>
      <c r="E21" s="5" t="n">
        <v>0</v>
      </c>
      <c r="F21" s="5" t="n">
        <v>31332</v>
      </c>
      <c r="G21" s="5" t="n">
        <v>7834</v>
      </c>
      <c r="H21" s="5" t="n">
        <v>2</v>
      </c>
      <c r="I21" s="5"/>
      <c r="J21" s="5" t="n">
        <v>634.3335</v>
      </c>
      <c r="K21" s="5" t="n">
        <v>0.6311</v>
      </c>
      <c r="L21" s="5"/>
      <c r="M21" s="5"/>
      <c r="N21" s="5" t="n">
        <v>40</v>
      </c>
      <c r="O21" s="5" t="n">
        <v>100</v>
      </c>
      <c r="P21" s="5"/>
      <c r="Q21" s="5"/>
      <c r="R21" s="5"/>
      <c r="S21" s="5" t="n">
        <v>0.05974</v>
      </c>
      <c r="T21" s="5" t="n">
        <v>0.183</v>
      </c>
      <c r="U21" s="5" t="n">
        <v>4564778</v>
      </c>
      <c r="V21" s="9" t="b">
        <f aca="false">TRUE()</f>
        <v>1</v>
      </c>
      <c r="W21" s="5" t="n">
        <v>635.715</v>
      </c>
    </row>
    <row r="22" customFormat="false" ht="15" hidden="false" customHeight="false" outlineLevel="0" collapsed="false">
      <c r="A22" s="5" t="s">
        <v>46</v>
      </c>
      <c r="B22" s="5" t="s">
        <v>47</v>
      </c>
      <c r="C22" s="5" t="s">
        <v>45</v>
      </c>
      <c r="D22" s="5" t="n">
        <v>0.5</v>
      </c>
      <c r="E22" s="5" t="n">
        <v>0</v>
      </c>
      <c r="F22" s="5" t="n">
        <v>31332</v>
      </c>
      <c r="G22" s="5" t="n">
        <v>7834</v>
      </c>
      <c r="H22" s="5" t="n">
        <v>3</v>
      </c>
      <c r="I22" s="5"/>
      <c r="J22" s="5" t="n">
        <v>627.6369</v>
      </c>
      <c r="K22" s="5" t="n">
        <v>0.5384</v>
      </c>
      <c r="L22" s="5"/>
      <c r="M22" s="5"/>
      <c r="N22" s="5" t="n">
        <v>40</v>
      </c>
      <c r="O22" s="5" t="n">
        <v>100</v>
      </c>
      <c r="P22" s="5"/>
      <c r="Q22" s="5"/>
      <c r="R22" s="5"/>
      <c r="S22" s="5" t="n">
        <v>0.02715</v>
      </c>
      <c r="T22" s="5" t="n">
        <v>0.04976</v>
      </c>
      <c r="U22" s="5" t="n">
        <v>4562958</v>
      </c>
      <c r="V22" s="9" t="b">
        <f aca="false">TRUE()</f>
        <v>1</v>
      </c>
      <c r="W22" s="5" t="n">
        <v>628.879</v>
      </c>
    </row>
    <row r="23" customFormat="false" ht="15" hidden="false" customHeight="false" outlineLevel="0" collapsed="false">
      <c r="A23" s="7" t="s">
        <v>46</v>
      </c>
      <c r="B23" s="7" t="s">
        <v>47</v>
      </c>
      <c r="C23" s="7" t="s">
        <v>45</v>
      </c>
      <c r="D23" s="7" t="n">
        <v>0.5</v>
      </c>
      <c r="E23" s="7" t="n">
        <v>1</v>
      </c>
      <c r="F23" s="7" t="n">
        <v>26566</v>
      </c>
      <c r="G23" s="7" t="n">
        <v>6642</v>
      </c>
      <c r="H23" s="7" t="n">
        <v>1</v>
      </c>
      <c r="I23" s="7"/>
      <c r="J23" s="7" t="n">
        <v>204.1705</v>
      </c>
      <c r="K23" s="7" t="n">
        <v>0.5844</v>
      </c>
      <c r="L23" s="7"/>
      <c r="M23" s="7"/>
      <c r="N23" s="7" t="n">
        <v>40</v>
      </c>
      <c r="O23" s="7" t="n">
        <v>100</v>
      </c>
      <c r="P23" s="7"/>
      <c r="Q23" s="7"/>
      <c r="R23" s="7"/>
      <c r="S23" s="7" t="n">
        <v>0.04314</v>
      </c>
      <c r="T23" s="7" t="n">
        <v>0.04186</v>
      </c>
      <c r="U23" s="7" t="n">
        <v>4562642</v>
      </c>
      <c r="V23" s="10" t="b">
        <f aca="false">TRUE()</f>
        <v>1</v>
      </c>
      <c r="W23" s="7" t="n">
        <v>205.4116</v>
      </c>
    </row>
    <row r="24" customFormat="false" ht="15" hidden="false" customHeight="false" outlineLevel="0" collapsed="false">
      <c r="A24" s="7" t="s">
        <v>46</v>
      </c>
      <c r="B24" s="7" t="s">
        <v>47</v>
      </c>
      <c r="C24" s="7" t="s">
        <v>45</v>
      </c>
      <c r="D24" s="7" t="n">
        <v>0.5</v>
      </c>
      <c r="E24" s="7" t="n">
        <v>1</v>
      </c>
      <c r="F24" s="7" t="n">
        <v>26566</v>
      </c>
      <c r="G24" s="7" t="n">
        <v>6642</v>
      </c>
      <c r="H24" s="7" t="n">
        <v>2</v>
      </c>
      <c r="I24" s="7"/>
      <c r="J24" s="7" t="n">
        <v>183.9433</v>
      </c>
      <c r="K24" s="7" t="n">
        <v>0.6003</v>
      </c>
      <c r="L24" s="7"/>
      <c r="M24" s="7"/>
      <c r="N24" s="7" t="n">
        <v>40</v>
      </c>
      <c r="O24" s="7" t="n">
        <v>100</v>
      </c>
      <c r="P24" s="7"/>
      <c r="Q24" s="7"/>
      <c r="R24" s="7"/>
      <c r="S24" s="7" t="n">
        <v>0.02278</v>
      </c>
      <c r="T24" s="7" t="n">
        <v>0.03614</v>
      </c>
      <c r="U24" s="7" t="n">
        <v>4563074</v>
      </c>
      <c r="V24" s="10" t="b">
        <f aca="false">TRUE()</f>
        <v>1</v>
      </c>
      <c r="W24" s="7" t="n">
        <v>185.1751</v>
      </c>
    </row>
    <row r="25" customFormat="false" ht="15" hidden="false" customHeight="false" outlineLevel="0" collapsed="false">
      <c r="A25" s="7" t="s">
        <v>46</v>
      </c>
      <c r="B25" s="7" t="s">
        <v>47</v>
      </c>
      <c r="C25" s="7" t="s">
        <v>45</v>
      </c>
      <c r="D25" s="7" t="n">
        <v>0.5</v>
      </c>
      <c r="E25" s="7" t="n">
        <v>1</v>
      </c>
      <c r="F25" s="7" t="n">
        <v>26566</v>
      </c>
      <c r="G25" s="7" t="n">
        <v>6642</v>
      </c>
      <c r="H25" s="7" t="n">
        <v>3</v>
      </c>
      <c r="I25" s="7"/>
      <c r="J25" s="7" t="n">
        <v>193.3411</v>
      </c>
      <c r="K25" s="7" t="n">
        <v>0.6072</v>
      </c>
      <c r="L25" s="7"/>
      <c r="M25" s="7"/>
      <c r="N25" s="7" t="n">
        <v>40</v>
      </c>
      <c r="O25" s="7" t="n">
        <v>100</v>
      </c>
      <c r="P25" s="7"/>
      <c r="Q25" s="7"/>
      <c r="R25" s="7"/>
      <c r="S25" s="7" t="n">
        <v>0.02762</v>
      </c>
      <c r="T25" s="7" t="n">
        <v>0.13439</v>
      </c>
      <c r="U25" s="7" t="n">
        <v>4563214</v>
      </c>
      <c r="V25" s="10" t="b">
        <f aca="false">TRUE()</f>
        <v>1</v>
      </c>
      <c r="W25" s="7" t="n">
        <v>194.5973</v>
      </c>
    </row>
    <row r="26" customFormat="false" ht="15" hidden="false" customHeight="false" outlineLevel="0" collapsed="false">
      <c r="A26" s="5" t="s">
        <v>48</v>
      </c>
      <c r="B26" s="5" t="s">
        <v>49</v>
      </c>
      <c r="C26" s="5" t="s">
        <v>44</v>
      </c>
      <c r="D26" s="5" t="n">
        <v>1</v>
      </c>
      <c r="E26" s="5" t="n">
        <v>0</v>
      </c>
      <c r="F26" s="5" t="n">
        <v>31332</v>
      </c>
      <c r="G26" s="5" t="n">
        <v>7834</v>
      </c>
      <c r="H26" s="5" t="n">
        <v>1</v>
      </c>
      <c r="I26" s="5"/>
      <c r="J26" s="5" t="n">
        <v>130.274</v>
      </c>
      <c r="K26" s="5" t="n">
        <v>0.0205</v>
      </c>
      <c r="L26" s="5"/>
      <c r="M26" s="5"/>
      <c r="N26" s="5" t="n">
        <v>3</v>
      </c>
      <c r="O26" s="5" t="n">
        <v>5.84459375078053</v>
      </c>
      <c r="P26" s="5"/>
      <c r="Q26" s="5"/>
      <c r="R26" s="5"/>
      <c r="S26" s="5" t="n">
        <v>0.1187</v>
      </c>
      <c r="T26" s="5" t="n">
        <v>0.09734</v>
      </c>
      <c r="U26" s="5" t="n">
        <v>1998512</v>
      </c>
      <c r="V26" s="9" t="b">
        <f aca="false">TRUE()</f>
        <v>1</v>
      </c>
      <c r="W26" s="5" t="n">
        <v>131.6872</v>
      </c>
    </row>
    <row r="27" customFormat="false" ht="15" hidden="false" customHeight="false" outlineLevel="0" collapsed="false">
      <c r="A27" s="5" t="s">
        <v>48</v>
      </c>
      <c r="B27" s="5" t="s">
        <v>49</v>
      </c>
      <c r="C27" s="5" t="s">
        <v>44</v>
      </c>
      <c r="D27" s="5" t="n">
        <v>1</v>
      </c>
      <c r="E27" s="5" t="n">
        <v>0</v>
      </c>
      <c r="F27" s="5" t="n">
        <v>31332</v>
      </c>
      <c r="G27" s="5" t="n">
        <v>7834</v>
      </c>
      <c r="H27" s="5" t="n">
        <v>2</v>
      </c>
      <c r="I27" s="5"/>
      <c r="J27" s="5" t="n">
        <v>146.6643</v>
      </c>
      <c r="K27" s="5" t="n">
        <v>0.026</v>
      </c>
      <c r="L27" s="5"/>
      <c r="M27" s="5"/>
      <c r="N27" s="5" t="n">
        <v>3</v>
      </c>
      <c r="O27" s="5" t="n">
        <v>5.84459375078053</v>
      </c>
      <c r="P27" s="5"/>
      <c r="Q27" s="5"/>
      <c r="R27" s="5"/>
      <c r="S27" s="5" t="n">
        <v>0.11641</v>
      </c>
      <c r="T27" s="5" t="n">
        <v>0.08061</v>
      </c>
      <c r="U27" s="5" t="n">
        <v>1997626</v>
      </c>
      <c r="V27" s="9" t="b">
        <f aca="false">TRUE()</f>
        <v>1</v>
      </c>
      <c r="W27" s="5" t="n">
        <v>147.8796</v>
      </c>
    </row>
    <row r="28" customFormat="false" ht="15" hidden="false" customHeight="false" outlineLevel="0" collapsed="false">
      <c r="A28" s="5" t="s">
        <v>48</v>
      </c>
      <c r="B28" s="5" t="s">
        <v>49</v>
      </c>
      <c r="C28" s="5" t="s">
        <v>44</v>
      </c>
      <c r="D28" s="5" t="n">
        <v>1</v>
      </c>
      <c r="E28" s="5" t="n">
        <v>0</v>
      </c>
      <c r="F28" s="5" t="n">
        <v>31332</v>
      </c>
      <c r="G28" s="5" t="n">
        <v>7834</v>
      </c>
      <c r="H28" s="5" t="n">
        <v>3</v>
      </c>
      <c r="I28" s="5"/>
      <c r="J28" s="5" t="n">
        <v>145.6709</v>
      </c>
      <c r="K28" s="5" t="n">
        <v>0.0279</v>
      </c>
      <c r="L28" s="5"/>
      <c r="M28" s="5"/>
      <c r="N28" s="5" t="n">
        <v>3</v>
      </c>
      <c r="O28" s="5" t="n">
        <v>5.84459375078053</v>
      </c>
      <c r="P28" s="5"/>
      <c r="Q28" s="5"/>
      <c r="R28" s="5"/>
      <c r="S28" s="5" t="n">
        <v>0.11039</v>
      </c>
      <c r="T28" s="5" t="n">
        <v>0.0746</v>
      </c>
      <c r="U28" s="5" t="n">
        <v>1996471</v>
      </c>
      <c r="V28" s="9" t="b">
        <f aca="false">TRUE()</f>
        <v>1</v>
      </c>
      <c r="W28" s="5" t="n">
        <v>146.8149</v>
      </c>
    </row>
    <row r="29" customFormat="false" ht="15" hidden="false" customHeight="false" outlineLevel="0" collapsed="false">
      <c r="A29" s="7" t="s">
        <v>48</v>
      </c>
      <c r="B29" s="7" t="s">
        <v>49</v>
      </c>
      <c r="C29" s="7" t="s">
        <v>44</v>
      </c>
      <c r="D29" s="7" t="n">
        <v>1</v>
      </c>
      <c r="E29" s="7" t="n">
        <v>1</v>
      </c>
      <c r="F29" s="7" t="n">
        <v>26566</v>
      </c>
      <c r="G29" s="7" t="n">
        <v>6642</v>
      </c>
      <c r="H29" s="7" t="n">
        <v>1</v>
      </c>
      <c r="I29" s="7"/>
      <c r="J29" s="7" t="n">
        <v>108.9521</v>
      </c>
      <c r="K29" s="7" t="n">
        <v>0.0215</v>
      </c>
      <c r="L29" s="7"/>
      <c r="M29" s="7"/>
      <c r="N29" s="7" t="n">
        <v>3</v>
      </c>
      <c r="O29" s="7" t="n">
        <v>5.84459375078053</v>
      </c>
      <c r="P29" s="7"/>
      <c r="Q29" s="7"/>
      <c r="R29" s="7"/>
      <c r="S29" s="7" t="n">
        <v>0.13212</v>
      </c>
      <c r="T29" s="7" t="n">
        <v>0.09222</v>
      </c>
      <c r="U29" s="7" t="n">
        <v>1998056</v>
      </c>
      <c r="V29" s="10" t="b">
        <f aca="false">TRUE()</f>
        <v>1</v>
      </c>
      <c r="W29" s="7" t="n">
        <v>110.3157</v>
      </c>
    </row>
    <row r="30" customFormat="false" ht="15" hidden="false" customHeight="false" outlineLevel="0" collapsed="false">
      <c r="A30" s="7" t="s">
        <v>48</v>
      </c>
      <c r="B30" s="7" t="s">
        <v>49</v>
      </c>
      <c r="C30" s="7" t="s">
        <v>44</v>
      </c>
      <c r="D30" s="7" t="n">
        <v>1</v>
      </c>
      <c r="E30" s="7" t="n">
        <v>1</v>
      </c>
      <c r="F30" s="7" t="n">
        <v>26566</v>
      </c>
      <c r="G30" s="7" t="n">
        <v>6642</v>
      </c>
      <c r="H30" s="7" t="n">
        <v>2</v>
      </c>
      <c r="I30" s="7"/>
      <c r="J30" s="7" t="n">
        <v>111.9212</v>
      </c>
      <c r="K30" s="7" t="n">
        <v>0.0261</v>
      </c>
      <c r="L30" s="7"/>
      <c r="M30" s="7"/>
      <c r="N30" s="7" t="n">
        <v>3</v>
      </c>
      <c r="O30" s="7" t="n">
        <v>5.84459375078053</v>
      </c>
      <c r="P30" s="7"/>
      <c r="Q30" s="7"/>
      <c r="R30" s="7"/>
      <c r="S30" s="7" t="n">
        <v>0.13229</v>
      </c>
      <c r="T30" s="7" t="n">
        <v>0.07959</v>
      </c>
      <c r="U30" s="7" t="n">
        <v>1997682</v>
      </c>
      <c r="V30" s="10" t="b">
        <f aca="false">TRUE()</f>
        <v>1</v>
      </c>
      <c r="W30" s="7" t="n">
        <v>113.1977</v>
      </c>
    </row>
    <row r="31" customFormat="false" ht="15" hidden="false" customHeight="false" outlineLevel="0" collapsed="false">
      <c r="A31" s="7" t="s">
        <v>48</v>
      </c>
      <c r="B31" s="7" t="s">
        <v>49</v>
      </c>
      <c r="C31" s="7" t="s">
        <v>44</v>
      </c>
      <c r="D31" s="7" t="n">
        <v>1</v>
      </c>
      <c r="E31" s="7" t="n">
        <v>1</v>
      </c>
      <c r="F31" s="7" t="n">
        <v>26566</v>
      </c>
      <c r="G31" s="7" t="n">
        <v>6642</v>
      </c>
      <c r="H31" s="7" t="n">
        <v>3</v>
      </c>
      <c r="I31" s="7"/>
      <c r="J31" s="7" t="n">
        <v>107.8058</v>
      </c>
      <c r="K31" s="7" t="n">
        <v>0.0973</v>
      </c>
      <c r="L31" s="7"/>
      <c r="M31" s="7"/>
      <c r="N31" s="7" t="n">
        <v>3</v>
      </c>
      <c r="O31" s="7" t="n">
        <v>5.84459375078053</v>
      </c>
      <c r="P31" s="7"/>
      <c r="Q31" s="7"/>
      <c r="R31" s="7"/>
      <c r="S31" s="7" t="n">
        <v>0.12562</v>
      </c>
      <c r="T31" s="7" t="n">
        <v>0.079</v>
      </c>
      <c r="U31" s="7" t="n">
        <v>1996695</v>
      </c>
      <c r="V31" s="10" t="b">
        <f aca="false">TRUE()</f>
        <v>1</v>
      </c>
      <c r="W31" s="7" t="n">
        <v>109.0029</v>
      </c>
    </row>
    <row r="32" customFormat="false" ht="15" hidden="false" customHeight="false" outlineLevel="0" collapsed="false">
      <c r="A32" s="5" t="s">
        <v>48</v>
      </c>
      <c r="B32" s="5" t="s">
        <v>49</v>
      </c>
      <c r="C32" s="5" t="s">
        <v>45</v>
      </c>
      <c r="D32" s="5" t="n">
        <v>0.5</v>
      </c>
      <c r="E32" s="5" t="n">
        <v>0</v>
      </c>
      <c r="F32" s="5" t="n">
        <v>31332</v>
      </c>
      <c r="G32" s="5" t="n">
        <v>7834</v>
      </c>
      <c r="H32" s="5" t="n">
        <v>1</v>
      </c>
      <c r="I32" s="5"/>
      <c r="J32" s="5" t="n">
        <v>613.4982</v>
      </c>
      <c r="K32" s="5" t="n">
        <v>0.0791</v>
      </c>
      <c r="L32" s="5"/>
      <c r="M32" s="5"/>
      <c r="N32" s="5" t="n">
        <v>3</v>
      </c>
      <c r="O32" s="5" t="n">
        <v>5.84459375078053</v>
      </c>
      <c r="P32" s="5"/>
      <c r="Q32" s="5"/>
      <c r="R32" s="5"/>
      <c r="S32" s="5" t="n">
        <v>0.2052</v>
      </c>
      <c r="T32" s="5" t="n">
        <v>0.11212</v>
      </c>
      <c r="U32" s="5" t="n">
        <v>1998283</v>
      </c>
      <c r="V32" s="9" t="b">
        <f aca="false">TRUE()</f>
        <v>1</v>
      </c>
      <c r="W32" s="5" t="n">
        <v>615.0366</v>
      </c>
    </row>
    <row r="33" customFormat="false" ht="15" hidden="false" customHeight="false" outlineLevel="0" collapsed="false">
      <c r="A33" s="5" t="s">
        <v>48</v>
      </c>
      <c r="B33" s="5" t="s">
        <v>49</v>
      </c>
      <c r="C33" s="5" t="s">
        <v>45</v>
      </c>
      <c r="D33" s="5" t="n">
        <v>0.5</v>
      </c>
      <c r="E33" s="5" t="n">
        <v>0</v>
      </c>
      <c r="F33" s="5" t="n">
        <v>31332</v>
      </c>
      <c r="G33" s="5" t="n">
        <v>7834</v>
      </c>
      <c r="H33" s="5" t="n">
        <v>2</v>
      </c>
      <c r="I33" s="5"/>
      <c r="J33" s="5" t="n">
        <v>599.3866</v>
      </c>
      <c r="K33" s="5" t="n">
        <v>0.028</v>
      </c>
      <c r="L33" s="5"/>
      <c r="M33" s="5"/>
      <c r="N33" s="5" t="n">
        <v>3</v>
      </c>
      <c r="O33" s="5" t="n">
        <v>5.84459375078053</v>
      </c>
      <c r="P33" s="5"/>
      <c r="Q33" s="5"/>
      <c r="R33" s="5"/>
      <c r="S33" s="5" t="n">
        <v>0.20531</v>
      </c>
      <c r="T33" s="5" t="n">
        <v>0.10818</v>
      </c>
      <c r="U33" s="5" t="n">
        <v>1997206</v>
      </c>
      <c r="V33" s="9" t="b">
        <f aca="false">TRUE()</f>
        <v>1</v>
      </c>
      <c r="W33" s="5" t="n">
        <v>600.8171</v>
      </c>
    </row>
    <row r="34" customFormat="false" ht="15" hidden="false" customHeight="false" outlineLevel="0" collapsed="false">
      <c r="A34" s="5" t="s">
        <v>48</v>
      </c>
      <c r="B34" s="5" t="s">
        <v>49</v>
      </c>
      <c r="C34" s="5" t="s">
        <v>45</v>
      </c>
      <c r="D34" s="5" t="n">
        <v>0.5</v>
      </c>
      <c r="E34" s="5" t="n">
        <v>0</v>
      </c>
      <c r="F34" s="5" t="n">
        <v>31332</v>
      </c>
      <c r="G34" s="5" t="n">
        <v>7834</v>
      </c>
      <c r="H34" s="5" t="n">
        <v>3</v>
      </c>
      <c r="I34" s="5"/>
      <c r="J34" s="5" t="n">
        <v>601.2976</v>
      </c>
      <c r="K34" s="5" t="n">
        <v>0.1214</v>
      </c>
      <c r="L34" s="5"/>
      <c r="M34" s="5"/>
      <c r="N34" s="5" t="n">
        <v>3</v>
      </c>
      <c r="O34" s="5" t="n">
        <v>5.84459375078053</v>
      </c>
      <c r="P34" s="5"/>
      <c r="Q34" s="5"/>
      <c r="R34" s="5"/>
      <c r="S34" s="5" t="n">
        <v>0.20308</v>
      </c>
      <c r="T34" s="5" t="n">
        <v>0.30198</v>
      </c>
      <c r="U34" s="5" t="n">
        <v>1996683</v>
      </c>
      <c r="V34" s="9" t="b">
        <f aca="false">TRUE()</f>
        <v>1</v>
      </c>
      <c r="W34" s="5" t="n">
        <v>603.1254</v>
      </c>
    </row>
    <row r="35" customFormat="false" ht="15" hidden="false" customHeight="false" outlineLevel="0" collapsed="false">
      <c r="A35" s="7" t="s">
        <v>48</v>
      </c>
      <c r="B35" s="7" t="s">
        <v>49</v>
      </c>
      <c r="C35" s="7" t="s">
        <v>45</v>
      </c>
      <c r="D35" s="7" t="n">
        <v>0.5</v>
      </c>
      <c r="E35" s="7" t="n">
        <v>1</v>
      </c>
      <c r="F35" s="7" t="n">
        <v>26566</v>
      </c>
      <c r="G35" s="7" t="n">
        <v>6642</v>
      </c>
      <c r="H35" s="7" t="n">
        <v>1</v>
      </c>
      <c r="I35" s="7"/>
      <c r="J35" s="7" t="n">
        <v>340.3549</v>
      </c>
      <c r="K35" s="7" t="n">
        <v>0.0287</v>
      </c>
      <c r="L35" s="7"/>
      <c r="M35" s="7"/>
      <c r="N35" s="7" t="n">
        <v>3</v>
      </c>
      <c r="O35" s="7" t="n">
        <v>5.84459375078053</v>
      </c>
      <c r="P35" s="7"/>
      <c r="Q35" s="7"/>
      <c r="R35" s="7"/>
      <c r="S35" s="7" t="n">
        <v>0.21755</v>
      </c>
      <c r="T35" s="7" t="n">
        <v>0.09771</v>
      </c>
      <c r="U35" s="7" t="n">
        <v>1998995</v>
      </c>
      <c r="V35" s="10" t="b">
        <f aca="false">TRUE()</f>
        <v>1</v>
      </c>
      <c r="W35" s="7" t="n">
        <v>341.9674</v>
      </c>
    </row>
    <row r="36" customFormat="false" ht="15" hidden="false" customHeight="false" outlineLevel="0" collapsed="false">
      <c r="A36" s="7" t="s">
        <v>48</v>
      </c>
      <c r="B36" s="7" t="s">
        <v>49</v>
      </c>
      <c r="C36" s="7" t="s">
        <v>45</v>
      </c>
      <c r="D36" s="7" t="n">
        <v>0.5</v>
      </c>
      <c r="E36" s="7" t="n">
        <v>1</v>
      </c>
      <c r="F36" s="7" t="n">
        <v>26566</v>
      </c>
      <c r="G36" s="7" t="n">
        <v>6642</v>
      </c>
      <c r="H36" s="7" t="n">
        <v>2</v>
      </c>
      <c r="I36" s="7"/>
      <c r="J36" s="7" t="n">
        <v>362.6413</v>
      </c>
      <c r="K36" s="7" t="n">
        <v>0.1137</v>
      </c>
      <c r="L36" s="7"/>
      <c r="M36" s="7"/>
      <c r="N36" s="7" t="n">
        <v>3</v>
      </c>
      <c r="O36" s="7" t="n">
        <v>5.84459375078053</v>
      </c>
      <c r="P36" s="7"/>
      <c r="Q36" s="7"/>
      <c r="R36" s="7"/>
      <c r="S36" s="7" t="n">
        <v>0.22135</v>
      </c>
      <c r="T36" s="7" t="n">
        <v>0.09721</v>
      </c>
      <c r="U36" s="7" t="n">
        <v>1997664</v>
      </c>
      <c r="V36" s="10" t="b">
        <f aca="false">TRUE()</f>
        <v>1</v>
      </c>
      <c r="W36" s="7" t="n">
        <v>364.2506</v>
      </c>
    </row>
    <row r="37" customFormat="false" ht="15" hidden="false" customHeight="false" outlineLevel="0" collapsed="false">
      <c r="A37" s="7" t="s">
        <v>48</v>
      </c>
      <c r="B37" s="7" t="s">
        <v>49</v>
      </c>
      <c r="C37" s="7" t="s">
        <v>45</v>
      </c>
      <c r="D37" s="7" t="n">
        <v>0.5</v>
      </c>
      <c r="E37" s="7" t="n">
        <v>1</v>
      </c>
      <c r="F37" s="7" t="n">
        <v>26566</v>
      </c>
      <c r="G37" s="7" t="n">
        <v>6642</v>
      </c>
      <c r="H37" s="7" t="n">
        <v>3</v>
      </c>
      <c r="I37" s="7"/>
      <c r="J37" s="7" t="n">
        <v>357.1464</v>
      </c>
      <c r="K37" s="7" t="n">
        <v>0.0286</v>
      </c>
      <c r="L37" s="7"/>
      <c r="M37" s="7"/>
      <c r="N37" s="7" t="n">
        <v>3</v>
      </c>
      <c r="O37" s="7" t="n">
        <v>5.84459375078053</v>
      </c>
      <c r="P37" s="7"/>
      <c r="Q37" s="7"/>
      <c r="R37" s="7"/>
      <c r="S37" s="7" t="n">
        <v>0.18992</v>
      </c>
      <c r="T37" s="7" t="n">
        <v>0.08071</v>
      </c>
      <c r="U37" s="7" t="n">
        <v>1997290</v>
      </c>
      <c r="V37" s="10" t="b">
        <f aca="false">TRUE()</f>
        <v>1</v>
      </c>
      <c r="W37" s="7" t="n">
        <v>358.6517</v>
      </c>
    </row>
    <row r="38" customFormat="false" ht="15" hidden="false" customHeight="false" outlineLevel="0" collapsed="false">
      <c r="A38" s="5" t="s">
        <v>50</v>
      </c>
      <c r="B38" s="5" t="s">
        <v>51</v>
      </c>
      <c r="C38" s="5" t="s">
        <v>44</v>
      </c>
      <c r="D38" s="5" t="n">
        <v>1</v>
      </c>
      <c r="E38" s="5" t="n">
        <v>0</v>
      </c>
      <c r="F38" s="5" t="n">
        <v>31332</v>
      </c>
      <c r="G38" s="5" t="n">
        <v>7834</v>
      </c>
      <c r="H38" s="5" t="n">
        <v>1</v>
      </c>
      <c r="I38" s="5"/>
      <c r="J38" s="5" t="n">
        <v>157.1768</v>
      </c>
      <c r="K38" s="5" t="n">
        <v>0.0347</v>
      </c>
      <c r="L38" s="5" t="n">
        <v>0.0061</v>
      </c>
      <c r="M38" s="5" t="n">
        <v>0</v>
      </c>
      <c r="N38" s="5" t="n">
        <v>3</v>
      </c>
      <c r="O38" s="5" t="n">
        <v>5.84459375078053</v>
      </c>
      <c r="P38" s="5"/>
      <c r="Q38" s="5"/>
      <c r="R38" s="5"/>
      <c r="S38" s="5" t="n">
        <v>0.12404</v>
      </c>
      <c r="T38" s="5" t="n">
        <v>0.08572</v>
      </c>
      <c r="U38" s="5" t="n">
        <v>1998246</v>
      </c>
      <c r="V38" s="9" t="b">
        <f aca="false">TRUE()</f>
        <v>1</v>
      </c>
      <c r="W38" s="5" t="n">
        <v>158.5163</v>
      </c>
    </row>
    <row r="39" customFormat="false" ht="15" hidden="false" customHeight="false" outlineLevel="0" collapsed="false">
      <c r="A39" s="5" t="s">
        <v>50</v>
      </c>
      <c r="B39" s="5" t="s">
        <v>51</v>
      </c>
      <c r="C39" s="5" t="s">
        <v>44</v>
      </c>
      <c r="D39" s="5" t="n">
        <v>1</v>
      </c>
      <c r="E39" s="5" t="n">
        <v>0</v>
      </c>
      <c r="F39" s="5" t="n">
        <v>31332</v>
      </c>
      <c r="G39" s="5" t="n">
        <v>7834</v>
      </c>
      <c r="H39" s="5" t="n">
        <v>2</v>
      </c>
      <c r="I39" s="5"/>
      <c r="J39" s="5" t="n">
        <v>150.4446</v>
      </c>
      <c r="K39" s="5" t="n">
        <v>0.0313</v>
      </c>
      <c r="L39" s="5" t="n">
        <v>0.0017</v>
      </c>
      <c r="M39" s="5" t="n">
        <v>0</v>
      </c>
      <c r="N39" s="5" t="n">
        <v>3</v>
      </c>
      <c r="O39" s="5" t="n">
        <v>5.84459375078053</v>
      </c>
      <c r="P39" s="5"/>
      <c r="Q39" s="5"/>
      <c r="R39" s="5"/>
      <c r="S39" s="5" t="n">
        <v>0.12521</v>
      </c>
      <c r="T39" s="5" t="n">
        <v>0.07304</v>
      </c>
      <c r="U39" s="5" t="n">
        <v>1997792</v>
      </c>
      <c r="V39" s="9" t="b">
        <f aca="false">TRUE()</f>
        <v>1</v>
      </c>
      <c r="W39" s="5" t="n">
        <v>151.7096</v>
      </c>
    </row>
    <row r="40" customFormat="false" ht="15" hidden="false" customHeight="false" outlineLevel="0" collapsed="false">
      <c r="A40" s="5" t="s">
        <v>50</v>
      </c>
      <c r="B40" s="5" t="s">
        <v>51</v>
      </c>
      <c r="C40" s="5" t="s">
        <v>44</v>
      </c>
      <c r="D40" s="5" t="n">
        <v>1</v>
      </c>
      <c r="E40" s="5" t="n">
        <v>0</v>
      </c>
      <c r="F40" s="5" t="n">
        <v>31332</v>
      </c>
      <c r="G40" s="5" t="n">
        <v>7834</v>
      </c>
      <c r="H40" s="5" t="n">
        <v>3</v>
      </c>
      <c r="I40" s="5"/>
      <c r="J40" s="5" t="n">
        <v>157.2123</v>
      </c>
      <c r="K40" s="5" t="n">
        <v>0.1091</v>
      </c>
      <c r="L40" s="5" t="n">
        <v>0.0015</v>
      </c>
      <c r="M40" s="5" t="n">
        <v>0</v>
      </c>
      <c r="N40" s="5" t="n">
        <v>3</v>
      </c>
      <c r="O40" s="5" t="n">
        <v>5.84459375078053</v>
      </c>
      <c r="P40" s="5"/>
      <c r="Q40" s="5"/>
      <c r="R40" s="5"/>
      <c r="S40" s="5" t="n">
        <v>0.11366</v>
      </c>
      <c r="T40" s="5" t="n">
        <v>0.07644</v>
      </c>
      <c r="U40" s="5" t="n">
        <v>1997011</v>
      </c>
      <c r="V40" s="9" t="b">
        <f aca="false">TRUE()</f>
        <v>1</v>
      </c>
      <c r="W40" s="5" t="n">
        <v>158.3896</v>
      </c>
    </row>
    <row r="41" customFormat="false" ht="15" hidden="false" customHeight="false" outlineLevel="0" collapsed="false">
      <c r="A41" s="7" t="s">
        <v>50</v>
      </c>
      <c r="B41" s="7" t="s">
        <v>51</v>
      </c>
      <c r="C41" s="7" t="s">
        <v>44</v>
      </c>
      <c r="D41" s="7" t="n">
        <v>1</v>
      </c>
      <c r="E41" s="7" t="n">
        <v>1</v>
      </c>
      <c r="F41" s="7" t="n">
        <v>26566</v>
      </c>
      <c r="G41" s="7" t="n">
        <v>6642</v>
      </c>
      <c r="H41" s="7" t="n">
        <v>1</v>
      </c>
      <c r="I41" s="7"/>
      <c r="J41" s="7" t="n">
        <v>109.5917</v>
      </c>
      <c r="K41" s="7" t="n">
        <v>0.0217</v>
      </c>
      <c r="L41" s="7" t="n">
        <v>0.0219</v>
      </c>
      <c r="M41" s="7" t="n">
        <v>0</v>
      </c>
      <c r="N41" s="7" t="n">
        <v>3</v>
      </c>
      <c r="O41" s="7" t="n">
        <v>5.84459375078053</v>
      </c>
      <c r="P41" s="7"/>
      <c r="Q41" s="7"/>
      <c r="R41" s="7"/>
      <c r="S41" s="7" t="n">
        <v>0.11803</v>
      </c>
      <c r="T41" s="7" t="n">
        <v>0.11078</v>
      </c>
      <c r="U41" s="7" t="n">
        <v>1998254</v>
      </c>
      <c r="V41" s="10" t="b">
        <f aca="false">TRUE()</f>
        <v>1</v>
      </c>
      <c r="W41" s="7" t="n">
        <v>110.9437</v>
      </c>
    </row>
    <row r="42" customFormat="false" ht="15" hidden="false" customHeight="false" outlineLevel="0" collapsed="false">
      <c r="A42" s="7" t="s">
        <v>50</v>
      </c>
      <c r="B42" s="7" t="s">
        <v>51</v>
      </c>
      <c r="C42" s="7" t="s">
        <v>44</v>
      </c>
      <c r="D42" s="7" t="n">
        <v>1</v>
      </c>
      <c r="E42" s="7" t="n">
        <v>1</v>
      </c>
      <c r="F42" s="7" t="n">
        <v>26566</v>
      </c>
      <c r="G42" s="7" t="n">
        <v>6642</v>
      </c>
      <c r="H42" s="7" t="n">
        <v>2</v>
      </c>
      <c r="I42" s="7"/>
      <c r="J42" s="7" t="n">
        <v>122.73</v>
      </c>
      <c r="K42" s="7" t="n">
        <v>0.0999</v>
      </c>
      <c r="L42" s="7" t="n">
        <v>0.0011</v>
      </c>
      <c r="M42" s="7" t="n">
        <v>0</v>
      </c>
      <c r="N42" s="7" t="n">
        <v>3</v>
      </c>
      <c r="O42" s="7" t="n">
        <v>5.84459375078053</v>
      </c>
      <c r="P42" s="7"/>
      <c r="Q42" s="7"/>
      <c r="R42" s="7"/>
      <c r="S42" s="7" t="n">
        <v>0.13639</v>
      </c>
      <c r="T42" s="7" t="n">
        <v>0.08049</v>
      </c>
      <c r="U42" s="7" t="n">
        <v>1997709</v>
      </c>
      <c r="V42" s="10" t="b">
        <f aca="false">TRUE()</f>
        <v>1</v>
      </c>
      <c r="W42" s="7" t="n">
        <v>124.0385</v>
      </c>
    </row>
    <row r="43" customFormat="false" ht="15" hidden="false" customHeight="false" outlineLevel="0" collapsed="false">
      <c r="A43" s="7" t="s">
        <v>50</v>
      </c>
      <c r="B43" s="7" t="s">
        <v>51</v>
      </c>
      <c r="C43" s="7" t="s">
        <v>44</v>
      </c>
      <c r="D43" s="7" t="n">
        <v>1</v>
      </c>
      <c r="E43" s="7" t="n">
        <v>1</v>
      </c>
      <c r="F43" s="7" t="n">
        <v>26566</v>
      </c>
      <c r="G43" s="7" t="n">
        <v>6642</v>
      </c>
      <c r="H43" s="7" t="n">
        <v>3</v>
      </c>
      <c r="I43" s="7"/>
      <c r="J43" s="7" t="n">
        <v>125.177</v>
      </c>
      <c r="K43" s="7" t="n">
        <v>0.023</v>
      </c>
      <c r="L43" s="7" t="n">
        <v>0.001</v>
      </c>
      <c r="M43" s="7" t="n">
        <v>0</v>
      </c>
      <c r="N43" s="7" t="n">
        <v>3</v>
      </c>
      <c r="O43" s="7" t="n">
        <v>5.84459375078053</v>
      </c>
      <c r="P43" s="7"/>
      <c r="Q43" s="7"/>
      <c r="R43" s="7"/>
      <c r="S43" s="7" t="n">
        <v>0.12326</v>
      </c>
      <c r="T43" s="7" t="n">
        <v>0.07718</v>
      </c>
      <c r="U43" s="7" t="n">
        <v>1996488</v>
      </c>
      <c r="V43" s="10" t="b">
        <f aca="false">TRUE()</f>
        <v>1</v>
      </c>
      <c r="W43" s="7" t="n">
        <v>126.4181</v>
      </c>
    </row>
    <row r="44" customFormat="false" ht="15" hidden="false" customHeight="false" outlineLevel="0" collapsed="false">
      <c r="A44" s="5" t="s">
        <v>50</v>
      </c>
      <c r="B44" s="5" t="s">
        <v>51</v>
      </c>
      <c r="C44" s="5" t="s">
        <v>45</v>
      </c>
      <c r="D44" s="5" t="n">
        <v>0.5</v>
      </c>
      <c r="E44" s="5" t="n">
        <v>0</v>
      </c>
      <c r="F44" s="5" t="n">
        <v>31332</v>
      </c>
      <c r="G44" s="5" t="n">
        <v>7834</v>
      </c>
      <c r="H44" s="5" t="n">
        <v>1</v>
      </c>
      <c r="I44" s="5"/>
      <c r="J44" s="5" t="n">
        <v>292.7581</v>
      </c>
      <c r="K44" s="5" t="n">
        <v>0.0728</v>
      </c>
      <c r="L44" s="5" t="n">
        <v>0.0065</v>
      </c>
      <c r="M44" s="5" t="n">
        <v>0</v>
      </c>
      <c r="N44" s="5" t="n">
        <v>3</v>
      </c>
      <c r="O44" s="5" t="n">
        <v>5.84459375078053</v>
      </c>
      <c r="P44" s="5"/>
      <c r="Q44" s="5"/>
      <c r="R44" s="5"/>
      <c r="S44" s="5" t="n">
        <v>0.18907</v>
      </c>
      <c r="T44" s="5" t="n">
        <v>0.18541</v>
      </c>
      <c r="U44" s="5" t="n">
        <v>1998079</v>
      </c>
      <c r="V44" s="9" t="b">
        <f aca="false">TRUE()</f>
        <v>1</v>
      </c>
      <c r="W44" s="5" t="n">
        <v>294.3798</v>
      </c>
    </row>
    <row r="45" customFormat="false" ht="15" hidden="false" customHeight="false" outlineLevel="0" collapsed="false">
      <c r="A45" s="5" t="s">
        <v>50</v>
      </c>
      <c r="B45" s="5" t="s">
        <v>51</v>
      </c>
      <c r="C45" s="5" t="s">
        <v>45</v>
      </c>
      <c r="D45" s="5" t="n">
        <v>0.5</v>
      </c>
      <c r="E45" s="5" t="n">
        <v>0</v>
      </c>
      <c r="F45" s="5" t="n">
        <v>31332</v>
      </c>
      <c r="G45" s="5" t="n">
        <v>7834</v>
      </c>
      <c r="H45" s="5" t="n">
        <v>2</v>
      </c>
      <c r="I45" s="5"/>
      <c r="J45" s="5" t="n">
        <v>261.1524</v>
      </c>
      <c r="K45" s="5" t="n">
        <v>0.1168</v>
      </c>
      <c r="L45" s="5" t="n">
        <v>0.001</v>
      </c>
      <c r="M45" s="5" t="n">
        <v>0</v>
      </c>
      <c r="N45" s="5" t="n">
        <v>3</v>
      </c>
      <c r="O45" s="5" t="n">
        <v>5.84459375078053</v>
      </c>
      <c r="P45" s="5"/>
      <c r="Q45" s="5"/>
      <c r="R45" s="5"/>
      <c r="S45" s="5" t="n">
        <v>0.18132</v>
      </c>
      <c r="T45" s="5" t="n">
        <v>0.09536</v>
      </c>
      <c r="U45" s="5" t="n">
        <v>1996729</v>
      </c>
      <c r="V45" s="9" t="b">
        <f aca="false">TRUE()</f>
        <v>1</v>
      </c>
      <c r="W45" s="5" t="n">
        <v>262.6857</v>
      </c>
    </row>
    <row r="46" customFormat="false" ht="15" hidden="false" customHeight="false" outlineLevel="0" collapsed="false">
      <c r="A46" s="5" t="s">
        <v>50</v>
      </c>
      <c r="B46" s="5" t="s">
        <v>51</v>
      </c>
      <c r="C46" s="5" t="s">
        <v>45</v>
      </c>
      <c r="D46" s="5" t="n">
        <v>0.5</v>
      </c>
      <c r="E46" s="5" t="n">
        <v>0</v>
      </c>
      <c r="F46" s="5" t="n">
        <v>31332</v>
      </c>
      <c r="G46" s="5" t="n">
        <v>7834</v>
      </c>
      <c r="H46" s="5" t="n">
        <v>3</v>
      </c>
      <c r="I46" s="5"/>
      <c r="J46" s="5" t="n">
        <v>274.8383</v>
      </c>
      <c r="K46" s="5" t="n">
        <v>0.1018</v>
      </c>
      <c r="L46" s="5" t="n">
        <v>0.0012</v>
      </c>
      <c r="M46" s="5" t="n">
        <v>0</v>
      </c>
      <c r="N46" s="5" t="n">
        <v>3</v>
      </c>
      <c r="O46" s="5" t="n">
        <v>5.84459375078053</v>
      </c>
      <c r="P46" s="5"/>
      <c r="Q46" s="5"/>
      <c r="R46" s="5"/>
      <c r="S46" s="5" t="n">
        <v>0.18392</v>
      </c>
      <c r="T46" s="5" t="n">
        <v>0.08807</v>
      </c>
      <c r="U46" s="5" t="n">
        <v>1996494</v>
      </c>
      <c r="V46" s="9" t="b">
        <f aca="false">TRUE()</f>
        <v>1</v>
      </c>
      <c r="W46" s="5" t="n">
        <v>276.3498</v>
      </c>
    </row>
    <row r="47" customFormat="false" ht="15" hidden="false" customHeight="false" outlineLevel="0" collapsed="false">
      <c r="A47" s="7" t="s">
        <v>50</v>
      </c>
      <c r="B47" s="7" t="s">
        <v>51</v>
      </c>
      <c r="C47" s="7" t="s">
        <v>45</v>
      </c>
      <c r="D47" s="7" t="n">
        <v>0.5</v>
      </c>
      <c r="E47" s="7" t="n">
        <v>1</v>
      </c>
      <c r="F47" s="7" t="n">
        <v>26566</v>
      </c>
      <c r="G47" s="7" t="n">
        <v>6642</v>
      </c>
      <c r="H47" s="7" t="n">
        <v>1</v>
      </c>
      <c r="I47" s="7"/>
      <c r="J47" s="7" t="n">
        <v>209.9805</v>
      </c>
      <c r="K47" s="7" t="n">
        <v>0.0225</v>
      </c>
      <c r="L47" s="7" t="n">
        <v>0.0074</v>
      </c>
      <c r="M47" s="7" t="n">
        <v>0</v>
      </c>
      <c r="N47" s="7" t="n">
        <v>3</v>
      </c>
      <c r="O47" s="7" t="n">
        <v>5.84459375078053</v>
      </c>
      <c r="P47" s="7"/>
      <c r="Q47" s="7"/>
      <c r="R47" s="7"/>
      <c r="S47" s="7" t="n">
        <v>0.22437</v>
      </c>
      <c r="T47" s="7" t="n">
        <v>0.12604</v>
      </c>
      <c r="U47" s="7" t="n">
        <v>1998239</v>
      </c>
      <c r="V47" s="10" t="b">
        <f aca="false">TRUE()</f>
        <v>1</v>
      </c>
      <c r="W47" s="7" t="n">
        <v>211.7253</v>
      </c>
    </row>
    <row r="48" customFormat="false" ht="15" hidden="false" customHeight="false" outlineLevel="0" collapsed="false">
      <c r="A48" s="7" t="s">
        <v>50</v>
      </c>
      <c r="B48" s="7" t="s">
        <v>51</v>
      </c>
      <c r="C48" s="7" t="s">
        <v>45</v>
      </c>
      <c r="D48" s="7" t="n">
        <v>0.5</v>
      </c>
      <c r="E48" s="7" t="n">
        <v>1</v>
      </c>
      <c r="F48" s="7" t="n">
        <v>26566</v>
      </c>
      <c r="G48" s="7" t="n">
        <v>6642</v>
      </c>
      <c r="H48" s="7" t="n">
        <v>2</v>
      </c>
      <c r="I48" s="7"/>
      <c r="J48" s="7" t="n">
        <v>236.2241</v>
      </c>
      <c r="K48" s="7" t="n">
        <v>0.1011</v>
      </c>
      <c r="L48" s="7" t="n">
        <v>0.002</v>
      </c>
      <c r="M48" s="7" t="n">
        <v>0</v>
      </c>
      <c r="N48" s="7" t="n">
        <v>3</v>
      </c>
      <c r="O48" s="7" t="n">
        <v>5.84459375078053</v>
      </c>
      <c r="P48" s="7"/>
      <c r="Q48" s="7"/>
      <c r="R48" s="7"/>
      <c r="S48" s="7" t="n">
        <v>0.18559</v>
      </c>
      <c r="T48" s="7" t="n">
        <v>0.18826</v>
      </c>
      <c r="U48" s="7" t="n">
        <v>1997622</v>
      </c>
      <c r="V48" s="10" t="b">
        <f aca="false">TRUE()</f>
        <v>1</v>
      </c>
      <c r="W48" s="7" t="n">
        <v>237.9462</v>
      </c>
    </row>
    <row r="49" customFormat="false" ht="15" hidden="false" customHeight="false" outlineLevel="0" collapsed="false">
      <c r="A49" s="7" t="s">
        <v>50</v>
      </c>
      <c r="B49" s="7" t="s">
        <v>51</v>
      </c>
      <c r="C49" s="7" t="s">
        <v>45</v>
      </c>
      <c r="D49" s="7" t="n">
        <v>0.5</v>
      </c>
      <c r="E49" s="7" t="n">
        <v>1</v>
      </c>
      <c r="F49" s="7" t="n">
        <v>26566</v>
      </c>
      <c r="G49" s="7" t="n">
        <v>6642</v>
      </c>
      <c r="H49" s="7" t="n">
        <v>3</v>
      </c>
      <c r="I49" s="7"/>
      <c r="J49" s="7" t="n">
        <v>233.6479</v>
      </c>
      <c r="K49" s="7" t="n">
        <v>0.1096</v>
      </c>
      <c r="L49" s="7" t="n">
        <v>0.001</v>
      </c>
      <c r="M49" s="7" t="n">
        <v>0</v>
      </c>
      <c r="N49" s="7" t="n">
        <v>3</v>
      </c>
      <c r="O49" s="7" t="n">
        <v>5.84459375078053</v>
      </c>
      <c r="P49" s="7"/>
      <c r="Q49" s="7"/>
      <c r="R49" s="7"/>
      <c r="S49" s="7" t="n">
        <v>0.16867</v>
      </c>
      <c r="T49" s="7" t="n">
        <v>0.10647</v>
      </c>
      <c r="U49" s="7" t="n">
        <v>1996404</v>
      </c>
      <c r="V49" s="10" t="b">
        <f aca="false">TRUE()</f>
        <v>1</v>
      </c>
      <c r="W49" s="7" t="n">
        <v>235.1887</v>
      </c>
    </row>
    <row r="50" customFormat="false" ht="15" hidden="false" customHeight="false" outlineLevel="0" collapsed="false">
      <c r="A50" s="5" t="s">
        <v>52</v>
      </c>
      <c r="B50" s="5" t="s">
        <v>53</v>
      </c>
      <c r="C50" s="5" t="s">
        <v>44</v>
      </c>
      <c r="D50" s="5" t="n">
        <v>1</v>
      </c>
      <c r="E50" s="5" t="n">
        <v>0</v>
      </c>
      <c r="F50" s="5" t="n">
        <v>31332</v>
      </c>
      <c r="G50" s="5" t="n">
        <v>7834</v>
      </c>
      <c r="H50" s="5" t="n">
        <v>1</v>
      </c>
      <c r="I50" s="5" t="n">
        <v>0.9665</v>
      </c>
      <c r="J50" s="5" t="n">
        <v>702.0823</v>
      </c>
      <c r="K50" s="5"/>
      <c r="L50" s="5"/>
      <c r="M50" s="5"/>
      <c r="N50" s="5"/>
      <c r="O50" s="5"/>
      <c r="P50" s="5" t="n">
        <v>3</v>
      </c>
      <c r="Q50" s="5" t="n">
        <v>2.99622299776643</v>
      </c>
      <c r="R50" s="5" t="n">
        <v>0.79833984375</v>
      </c>
      <c r="S50" s="5" t="n">
        <v>0.24035</v>
      </c>
      <c r="T50" s="5" t="n">
        <v>0.17228</v>
      </c>
      <c r="U50" s="5" t="n">
        <v>2829057</v>
      </c>
      <c r="V50" s="9" t="b">
        <f aca="false">TRUE()</f>
        <v>1</v>
      </c>
      <c r="W50" s="5" t="n">
        <v>706.0779</v>
      </c>
    </row>
    <row r="51" customFormat="false" ht="15" hidden="false" customHeight="false" outlineLevel="0" collapsed="false">
      <c r="A51" s="5" t="s">
        <v>52</v>
      </c>
      <c r="B51" s="5" t="s">
        <v>53</v>
      </c>
      <c r="C51" s="5" t="s">
        <v>44</v>
      </c>
      <c r="D51" s="5" t="n">
        <v>1</v>
      </c>
      <c r="E51" s="5" t="n">
        <v>0</v>
      </c>
      <c r="F51" s="5" t="n">
        <v>31332</v>
      </c>
      <c r="G51" s="5" t="n">
        <v>7834</v>
      </c>
      <c r="H51" s="5" t="n">
        <v>2</v>
      </c>
      <c r="I51" s="5" t="n">
        <v>1.1334</v>
      </c>
      <c r="J51" s="5" t="n">
        <v>683.5806</v>
      </c>
      <c r="K51" s="5"/>
      <c r="L51" s="5"/>
      <c r="M51" s="5"/>
      <c r="N51" s="5"/>
      <c r="O51" s="5"/>
      <c r="P51" s="5" t="n">
        <v>3</v>
      </c>
      <c r="Q51" s="5" t="n">
        <v>2.99622299776643</v>
      </c>
      <c r="R51" s="5" t="n">
        <v>0.79833984375</v>
      </c>
      <c r="S51" s="5" t="n">
        <v>0.18869</v>
      </c>
      <c r="T51" s="5" t="n">
        <v>0.11832</v>
      </c>
      <c r="U51" s="5" t="n">
        <v>2828080</v>
      </c>
      <c r="V51" s="9" t="b">
        <f aca="false">TRUE()</f>
        <v>1</v>
      </c>
      <c r="W51" s="5" t="n">
        <v>686.3514</v>
      </c>
    </row>
    <row r="52" customFormat="false" ht="15" hidden="false" customHeight="false" outlineLevel="0" collapsed="false">
      <c r="A52" s="5" t="s">
        <v>52</v>
      </c>
      <c r="B52" s="5" t="s">
        <v>53</v>
      </c>
      <c r="C52" s="5" t="s">
        <v>44</v>
      </c>
      <c r="D52" s="5" t="n">
        <v>1</v>
      </c>
      <c r="E52" s="5" t="n">
        <v>0</v>
      </c>
      <c r="F52" s="5" t="n">
        <v>31332</v>
      </c>
      <c r="G52" s="5" t="n">
        <v>7834</v>
      </c>
      <c r="H52" s="5" t="n">
        <v>3</v>
      </c>
      <c r="I52" s="5" t="n">
        <v>1.1107</v>
      </c>
      <c r="J52" s="5" t="n">
        <v>680.4072</v>
      </c>
      <c r="K52" s="5"/>
      <c r="L52" s="5"/>
      <c r="M52" s="5"/>
      <c r="N52" s="5"/>
      <c r="O52" s="5"/>
      <c r="P52" s="5" t="n">
        <v>3</v>
      </c>
      <c r="Q52" s="5" t="n">
        <v>2.99622299776643</v>
      </c>
      <c r="R52" s="5" t="n">
        <v>0.79833984375</v>
      </c>
      <c r="S52" s="5" t="n">
        <v>0.18951</v>
      </c>
      <c r="T52" s="5" t="n">
        <v>0.11358</v>
      </c>
      <c r="U52" s="5" t="n">
        <v>2828110</v>
      </c>
      <c r="V52" s="9" t="b">
        <f aca="false">TRUE()</f>
        <v>1</v>
      </c>
      <c r="W52" s="5" t="n">
        <v>683.1523</v>
      </c>
    </row>
    <row r="53" customFormat="false" ht="15" hidden="false" customHeight="false" outlineLevel="0" collapsed="false">
      <c r="A53" s="7" t="s">
        <v>52</v>
      </c>
      <c r="B53" s="7" t="s">
        <v>53</v>
      </c>
      <c r="C53" s="7" t="s">
        <v>44</v>
      </c>
      <c r="D53" s="7" t="n">
        <v>1</v>
      </c>
      <c r="E53" s="7" t="n">
        <v>1</v>
      </c>
      <c r="F53" s="7" t="n">
        <v>26566</v>
      </c>
      <c r="G53" s="7" t="n">
        <v>6642</v>
      </c>
      <c r="H53" s="7" t="n">
        <v>1</v>
      </c>
      <c r="I53" s="7" t="n">
        <v>1.2232</v>
      </c>
      <c r="J53" s="7" t="n">
        <v>686.396</v>
      </c>
      <c r="K53" s="7"/>
      <c r="L53" s="7"/>
      <c r="M53" s="7"/>
      <c r="N53" s="7"/>
      <c r="O53" s="7"/>
      <c r="P53" s="7" t="n">
        <v>3</v>
      </c>
      <c r="Q53" s="7" t="n">
        <v>2.99476677889415</v>
      </c>
      <c r="R53" s="7" t="n">
        <v>0.8221435546875</v>
      </c>
      <c r="S53" s="7" t="n">
        <v>0.19724</v>
      </c>
      <c r="T53" s="7" t="n">
        <v>0.14772</v>
      </c>
      <c r="U53" s="7" t="n">
        <v>2829704</v>
      </c>
      <c r="V53" s="10" t="b">
        <f aca="false">TRUE()</f>
        <v>1</v>
      </c>
      <c r="W53" s="7" t="n">
        <v>690.5665</v>
      </c>
    </row>
    <row r="54" customFormat="false" ht="15" hidden="false" customHeight="false" outlineLevel="0" collapsed="false">
      <c r="A54" s="7" t="s">
        <v>52</v>
      </c>
      <c r="B54" s="7" t="s">
        <v>53</v>
      </c>
      <c r="C54" s="7" t="s">
        <v>44</v>
      </c>
      <c r="D54" s="7" t="n">
        <v>1</v>
      </c>
      <c r="E54" s="7" t="n">
        <v>1</v>
      </c>
      <c r="F54" s="7" t="n">
        <v>26566</v>
      </c>
      <c r="G54" s="7" t="n">
        <v>6642</v>
      </c>
      <c r="H54" s="7" t="n">
        <v>2</v>
      </c>
      <c r="I54" s="7" t="n">
        <v>1.364</v>
      </c>
      <c r="J54" s="7" t="n">
        <v>677.6404</v>
      </c>
      <c r="K54" s="7"/>
      <c r="L54" s="7"/>
      <c r="M54" s="7"/>
      <c r="N54" s="7"/>
      <c r="O54" s="7"/>
      <c r="P54" s="7" t="n">
        <v>3</v>
      </c>
      <c r="Q54" s="7" t="n">
        <v>2.99476677889415</v>
      </c>
      <c r="R54" s="7" t="n">
        <v>0.8221435546875</v>
      </c>
      <c r="S54" s="7" t="n">
        <v>0.19752</v>
      </c>
      <c r="T54" s="7" t="n">
        <v>0.12591</v>
      </c>
      <c r="U54" s="7" t="n">
        <v>2829193</v>
      </c>
      <c r="V54" s="10" t="b">
        <f aca="false">TRUE()</f>
        <v>1</v>
      </c>
      <c r="W54" s="7" t="n">
        <v>681.1296</v>
      </c>
    </row>
    <row r="55" customFormat="false" ht="15" hidden="false" customHeight="false" outlineLevel="0" collapsed="false">
      <c r="A55" s="7" t="s">
        <v>52</v>
      </c>
      <c r="B55" s="7" t="s">
        <v>53</v>
      </c>
      <c r="C55" s="7" t="s">
        <v>44</v>
      </c>
      <c r="D55" s="7" t="n">
        <v>1</v>
      </c>
      <c r="E55" s="7" t="n">
        <v>1</v>
      </c>
      <c r="F55" s="7" t="n">
        <v>26566</v>
      </c>
      <c r="G55" s="7" t="n">
        <v>6642</v>
      </c>
      <c r="H55" s="7" t="n">
        <v>3</v>
      </c>
      <c r="I55" s="7" t="n">
        <v>1.3832</v>
      </c>
      <c r="J55" s="7" t="n">
        <v>665.1348</v>
      </c>
      <c r="K55" s="7"/>
      <c r="L55" s="7"/>
      <c r="M55" s="7"/>
      <c r="N55" s="7"/>
      <c r="O55" s="7"/>
      <c r="P55" s="7" t="n">
        <v>3</v>
      </c>
      <c r="Q55" s="7" t="n">
        <v>2.99476677889415</v>
      </c>
      <c r="R55" s="7" t="n">
        <v>0.8221435546875</v>
      </c>
      <c r="S55" s="7" t="n">
        <v>0.19148</v>
      </c>
      <c r="T55" s="7" t="n">
        <v>0.11822</v>
      </c>
      <c r="U55" s="7" t="n">
        <v>2828752</v>
      </c>
      <c r="V55" s="10" t="b">
        <f aca="false">TRUE()</f>
        <v>1</v>
      </c>
      <c r="W55" s="7" t="n">
        <v>668.1882</v>
      </c>
    </row>
    <row r="56" customFormat="false" ht="15" hidden="false" customHeight="false" outlineLevel="0" collapsed="false">
      <c r="A56" s="5" t="s">
        <v>52</v>
      </c>
      <c r="B56" s="5" t="s">
        <v>53</v>
      </c>
      <c r="C56" s="5" t="s">
        <v>45</v>
      </c>
      <c r="D56" s="5" t="n">
        <v>0.5</v>
      </c>
      <c r="E56" s="5" t="n">
        <v>0</v>
      </c>
      <c r="F56" s="5" t="n">
        <v>31332</v>
      </c>
      <c r="G56" s="5" t="n">
        <v>7834</v>
      </c>
      <c r="H56" s="5" t="n">
        <v>1</v>
      </c>
      <c r="I56" s="5" t="n">
        <v>1.9194</v>
      </c>
      <c r="J56" s="5" t="n">
        <v>2615.3876</v>
      </c>
      <c r="K56" s="5"/>
      <c r="L56" s="5"/>
      <c r="M56" s="5"/>
      <c r="N56" s="5"/>
      <c r="O56" s="5"/>
      <c r="P56" s="5" t="n">
        <v>3</v>
      </c>
      <c r="Q56" s="5" t="n">
        <v>2.99622299776643</v>
      </c>
      <c r="R56" s="5" t="n">
        <v>0.79833984375</v>
      </c>
      <c r="S56" s="5" t="n">
        <v>0.41788</v>
      </c>
      <c r="T56" s="5" t="n">
        <v>0.78837</v>
      </c>
      <c r="U56" s="5" t="n">
        <v>2829752</v>
      </c>
      <c r="V56" s="9" t="b">
        <f aca="false">TRUE()</f>
        <v>1</v>
      </c>
      <c r="W56" s="5" t="n">
        <v>2623.1978</v>
      </c>
    </row>
    <row r="57" customFormat="false" ht="15" hidden="false" customHeight="false" outlineLevel="0" collapsed="false">
      <c r="A57" s="5" t="s">
        <v>52</v>
      </c>
      <c r="B57" s="5" t="s">
        <v>53</v>
      </c>
      <c r="C57" s="5" t="s">
        <v>45</v>
      </c>
      <c r="D57" s="5" t="n">
        <v>0.5</v>
      </c>
      <c r="E57" s="5" t="n">
        <v>0</v>
      </c>
      <c r="F57" s="5" t="n">
        <v>31332</v>
      </c>
      <c r="G57" s="5" t="n">
        <v>7834</v>
      </c>
      <c r="H57" s="5" t="n">
        <v>2</v>
      </c>
      <c r="I57" s="5" t="n">
        <v>2.3986</v>
      </c>
      <c r="J57" s="5" t="n">
        <v>2620.1119</v>
      </c>
      <c r="K57" s="5"/>
      <c r="L57" s="5"/>
      <c r="M57" s="5"/>
      <c r="N57" s="5"/>
      <c r="O57" s="5"/>
      <c r="P57" s="5" t="n">
        <v>3</v>
      </c>
      <c r="Q57" s="5" t="n">
        <v>2.99622299776643</v>
      </c>
      <c r="R57" s="5" t="n">
        <v>0.79833984375</v>
      </c>
      <c r="S57" s="5" t="n">
        <v>0.41004</v>
      </c>
      <c r="T57" s="5" t="n">
        <v>0.27315</v>
      </c>
      <c r="U57" s="5" t="n">
        <v>2829294</v>
      </c>
      <c r="V57" s="9" t="b">
        <f aca="false">TRUE()</f>
        <v>1</v>
      </c>
      <c r="W57" s="5" t="n">
        <v>2625.9841</v>
      </c>
    </row>
    <row r="58" customFormat="false" ht="15" hidden="false" customHeight="false" outlineLevel="0" collapsed="false">
      <c r="A58" s="5" t="s">
        <v>52</v>
      </c>
      <c r="B58" s="5" t="s">
        <v>53</v>
      </c>
      <c r="C58" s="5" t="s">
        <v>45</v>
      </c>
      <c r="D58" s="5" t="n">
        <v>0.5</v>
      </c>
      <c r="E58" s="5" t="n">
        <v>0</v>
      </c>
      <c r="F58" s="5" t="n">
        <v>31332</v>
      </c>
      <c r="G58" s="5" t="n">
        <v>7834</v>
      </c>
      <c r="H58" s="5" t="n">
        <v>3</v>
      </c>
      <c r="I58" s="5" t="n">
        <v>2.3972</v>
      </c>
      <c r="J58" s="5" t="n">
        <v>2654.7875</v>
      </c>
      <c r="K58" s="5"/>
      <c r="L58" s="5"/>
      <c r="M58" s="5"/>
      <c r="N58" s="5"/>
      <c r="O58" s="5"/>
      <c r="P58" s="5" t="n">
        <v>3</v>
      </c>
      <c r="Q58" s="5" t="n">
        <v>2.99622299776643</v>
      </c>
      <c r="R58" s="5" t="n">
        <v>0.79833984375</v>
      </c>
      <c r="S58" s="5" t="n">
        <v>0.41979</v>
      </c>
      <c r="T58" s="5" t="n">
        <v>0.56772</v>
      </c>
      <c r="U58" s="5" t="n">
        <v>2828639</v>
      </c>
      <c r="V58" s="9" t="b">
        <f aca="false">TRUE()</f>
        <v>1</v>
      </c>
      <c r="W58" s="5" t="n">
        <v>2660.7805</v>
      </c>
    </row>
    <row r="59" customFormat="false" ht="15" hidden="false" customHeight="false" outlineLevel="0" collapsed="false">
      <c r="A59" s="7" t="s">
        <v>52</v>
      </c>
      <c r="B59" s="7" t="s">
        <v>53</v>
      </c>
      <c r="C59" s="7" t="s">
        <v>45</v>
      </c>
      <c r="D59" s="7" t="n">
        <v>0.5</v>
      </c>
      <c r="E59" s="7" t="n">
        <v>1</v>
      </c>
      <c r="F59" s="7" t="n">
        <v>26566</v>
      </c>
      <c r="G59" s="7" t="n">
        <v>6642</v>
      </c>
      <c r="H59" s="7" t="n">
        <v>1</v>
      </c>
      <c r="I59" s="7" t="n">
        <v>2.5564</v>
      </c>
      <c r="J59" s="7" t="n">
        <v>2083.7946</v>
      </c>
      <c r="K59" s="7"/>
      <c r="L59" s="7"/>
      <c r="M59" s="7"/>
      <c r="N59" s="7"/>
      <c r="O59" s="7"/>
      <c r="P59" s="7" t="n">
        <v>3</v>
      </c>
      <c r="Q59" s="7" t="n">
        <v>2.99476677889415</v>
      </c>
      <c r="R59" s="7" t="n">
        <v>0.8221435546875</v>
      </c>
      <c r="S59" s="7" t="n">
        <v>0.36889</v>
      </c>
      <c r="T59" s="7" t="n">
        <v>0.42818</v>
      </c>
      <c r="U59" s="7" t="n">
        <v>2828911</v>
      </c>
      <c r="V59" s="10" t="b">
        <f aca="false">TRUE()</f>
        <v>1</v>
      </c>
      <c r="W59" s="7" t="n">
        <v>2091.2276</v>
      </c>
    </row>
    <row r="60" customFormat="false" ht="15" hidden="false" customHeight="false" outlineLevel="0" collapsed="false">
      <c r="A60" s="7" t="s">
        <v>52</v>
      </c>
      <c r="B60" s="7" t="s">
        <v>53</v>
      </c>
      <c r="C60" s="7" t="s">
        <v>45</v>
      </c>
      <c r="D60" s="7" t="n">
        <v>0.5</v>
      </c>
      <c r="E60" s="7" t="n">
        <v>1</v>
      </c>
      <c r="F60" s="7" t="n">
        <v>26566</v>
      </c>
      <c r="G60" s="7" t="n">
        <v>6642</v>
      </c>
      <c r="H60" s="7" t="n">
        <v>2</v>
      </c>
      <c r="I60" s="7" t="n">
        <v>2.9406</v>
      </c>
      <c r="J60" s="7" t="n">
        <v>2159.9506</v>
      </c>
      <c r="K60" s="7"/>
      <c r="L60" s="7"/>
      <c r="M60" s="7"/>
      <c r="N60" s="7"/>
      <c r="O60" s="7"/>
      <c r="P60" s="7" t="n">
        <v>3</v>
      </c>
      <c r="Q60" s="7" t="n">
        <v>2.99476677889415</v>
      </c>
      <c r="R60" s="7" t="n">
        <v>0.8221435546875</v>
      </c>
      <c r="S60" s="7" t="n">
        <v>0.37074</v>
      </c>
      <c r="T60" s="7" t="n">
        <v>0.49367</v>
      </c>
      <c r="U60" s="7" t="n">
        <v>2828295</v>
      </c>
      <c r="V60" s="10" t="b">
        <f aca="false">TRUE()</f>
        <v>1</v>
      </c>
      <c r="W60" s="7" t="n">
        <v>2166.2572</v>
      </c>
    </row>
    <row r="61" customFormat="false" ht="15" hidden="false" customHeight="false" outlineLevel="0" collapsed="false">
      <c r="A61" s="7" t="s">
        <v>52</v>
      </c>
      <c r="B61" s="7" t="s">
        <v>53</v>
      </c>
      <c r="C61" s="7" t="s">
        <v>45</v>
      </c>
      <c r="D61" s="7" t="n">
        <v>0.5</v>
      </c>
      <c r="E61" s="7" t="n">
        <v>1</v>
      </c>
      <c r="F61" s="7" t="n">
        <v>26566</v>
      </c>
      <c r="G61" s="7" t="n">
        <v>6642</v>
      </c>
      <c r="H61" s="7" t="n">
        <v>3</v>
      </c>
      <c r="I61" s="7" t="n">
        <v>2.7996</v>
      </c>
      <c r="J61" s="7" t="n">
        <v>2141.1446</v>
      </c>
      <c r="K61" s="7"/>
      <c r="L61" s="7"/>
      <c r="M61" s="7"/>
      <c r="N61" s="7"/>
      <c r="O61" s="7"/>
      <c r="P61" s="7" t="n">
        <v>3</v>
      </c>
      <c r="Q61" s="7" t="n">
        <v>2.99476677889415</v>
      </c>
      <c r="R61" s="7" t="n">
        <v>0.8221435546875</v>
      </c>
      <c r="S61" s="7" t="n">
        <v>0.37719</v>
      </c>
      <c r="T61" s="7" t="n">
        <v>0.43531</v>
      </c>
      <c r="U61" s="7" t="n">
        <v>2827765</v>
      </c>
      <c r="V61" s="10" t="b">
        <f aca="false">TRUE()</f>
        <v>1</v>
      </c>
      <c r="W61" s="7" t="n">
        <v>2147.36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4"/>
  </cols>
  <sheetData>
    <row r="1" customFormat="false" ht="30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54</v>
      </c>
      <c r="E1" s="4" t="s">
        <v>57</v>
      </c>
      <c r="F1" s="4" t="s">
        <v>73</v>
      </c>
      <c r="G1" s="4" t="s">
        <v>70</v>
      </c>
      <c r="H1" s="4" t="s">
        <v>74</v>
      </c>
    </row>
    <row r="2" customFormat="false" ht="15" hidden="false" customHeight="false" outlineLevel="0" collapsed="false">
      <c r="A2" s="5" t="s">
        <v>42</v>
      </c>
      <c r="B2" s="5" t="s">
        <v>43</v>
      </c>
      <c r="C2" s="5" t="s">
        <v>44</v>
      </c>
      <c r="D2" s="5" t="n">
        <v>0</v>
      </c>
      <c r="E2" s="5" t="n">
        <v>1</v>
      </c>
      <c r="F2" s="5" t="n">
        <v>0.07056</v>
      </c>
      <c r="G2" s="5" t="n">
        <v>1756605</v>
      </c>
      <c r="H2" s="5" t="n">
        <v>138.652</v>
      </c>
    </row>
    <row r="3" customFormat="false" ht="15" hidden="false" customHeight="false" outlineLevel="0" collapsed="false">
      <c r="A3" s="5" t="s">
        <v>42</v>
      </c>
      <c r="B3" s="5" t="s">
        <v>43</v>
      </c>
      <c r="C3" s="5" t="s">
        <v>44</v>
      </c>
      <c r="D3" s="5" t="n">
        <v>1</v>
      </c>
      <c r="E3" s="5" t="n">
        <v>1</v>
      </c>
      <c r="F3" s="5" t="n">
        <v>0.07906</v>
      </c>
      <c r="G3" s="5" t="n">
        <v>1756663</v>
      </c>
      <c r="H3" s="5" t="n">
        <v>117.787</v>
      </c>
    </row>
    <row r="4" customFormat="false" ht="15" hidden="false" customHeight="false" outlineLevel="0" collapsed="false">
      <c r="A4" s="5" t="s">
        <v>42</v>
      </c>
      <c r="B4" s="5" t="s">
        <v>43</v>
      </c>
      <c r="C4" s="5" t="s">
        <v>44</v>
      </c>
      <c r="D4" s="5" t="n">
        <v>0</v>
      </c>
      <c r="E4" s="5" t="n">
        <v>2</v>
      </c>
      <c r="F4" s="5" t="n">
        <v>0.07015</v>
      </c>
      <c r="G4" s="5" t="n">
        <v>1755544</v>
      </c>
      <c r="H4" s="5" t="n">
        <v>275.34</v>
      </c>
    </row>
    <row r="5" customFormat="false" ht="15" hidden="false" customHeight="false" outlineLevel="0" collapsed="false">
      <c r="A5" s="5" t="s">
        <v>42</v>
      </c>
      <c r="B5" s="5" t="s">
        <v>43</v>
      </c>
      <c r="C5" s="5" t="s">
        <v>44</v>
      </c>
      <c r="D5" s="5" t="n">
        <v>1</v>
      </c>
      <c r="E5" s="5" t="n">
        <v>2</v>
      </c>
      <c r="F5" s="5" t="n">
        <v>0.06785</v>
      </c>
      <c r="G5" s="5" t="n">
        <v>1755840</v>
      </c>
      <c r="H5" s="5" t="n">
        <v>221.1</v>
      </c>
    </row>
    <row r="6" customFormat="false" ht="15" hidden="false" customHeight="false" outlineLevel="0" collapsed="false">
      <c r="A6" s="5" t="s">
        <v>42</v>
      </c>
      <c r="B6" s="5" t="s">
        <v>43</v>
      </c>
      <c r="C6" s="5" t="s">
        <v>44</v>
      </c>
      <c r="D6" s="5" t="n">
        <v>0</v>
      </c>
      <c r="E6" s="5" t="n">
        <v>3</v>
      </c>
      <c r="F6" s="5" t="n">
        <v>0.07122</v>
      </c>
      <c r="G6" s="5" t="n">
        <v>1754576</v>
      </c>
      <c r="H6" s="5" t="n">
        <v>417.956</v>
      </c>
    </row>
    <row r="7" customFormat="false" ht="15" hidden="false" customHeight="false" outlineLevel="0" collapsed="false">
      <c r="A7" s="5" t="s">
        <v>42</v>
      </c>
      <c r="B7" s="5" t="s">
        <v>43</v>
      </c>
      <c r="C7" s="5" t="s">
        <v>44</v>
      </c>
      <c r="D7" s="5" t="n">
        <v>1</v>
      </c>
      <c r="E7" s="5" t="n">
        <v>3</v>
      </c>
      <c r="F7" s="5" t="n">
        <v>0.06734</v>
      </c>
      <c r="G7" s="5" t="n">
        <v>1755113</v>
      </c>
      <c r="H7" s="5" t="n">
        <v>323.321</v>
      </c>
    </row>
    <row r="8" customFormat="false" ht="15" hidden="false" customHeight="false" outlineLevel="0" collapsed="false">
      <c r="A8" s="7" t="s">
        <v>42</v>
      </c>
      <c r="B8" s="7" t="s">
        <v>43</v>
      </c>
      <c r="C8" s="7" t="s">
        <v>45</v>
      </c>
      <c r="D8" s="7" t="n">
        <v>0</v>
      </c>
      <c r="E8" s="7" t="n">
        <v>1</v>
      </c>
      <c r="F8" s="7" t="n">
        <v>0.0929</v>
      </c>
      <c r="G8" s="7" t="n">
        <v>1756649</v>
      </c>
      <c r="H8" s="7" t="n">
        <v>412.398</v>
      </c>
    </row>
    <row r="9" customFormat="false" ht="15" hidden="false" customHeight="false" outlineLevel="0" collapsed="false">
      <c r="A9" s="7" t="s">
        <v>42</v>
      </c>
      <c r="B9" s="7" t="s">
        <v>43</v>
      </c>
      <c r="C9" s="7" t="s">
        <v>45</v>
      </c>
      <c r="D9" s="7" t="n">
        <v>1</v>
      </c>
      <c r="E9" s="7" t="n">
        <v>1</v>
      </c>
      <c r="F9" s="7" t="n">
        <v>0.21647</v>
      </c>
      <c r="G9" s="7" t="n">
        <v>1756879</v>
      </c>
      <c r="H9" s="7" t="n">
        <v>471.876</v>
      </c>
    </row>
    <row r="10" customFormat="false" ht="15" hidden="false" customHeight="false" outlineLevel="0" collapsed="false">
      <c r="A10" s="7" t="s">
        <v>42</v>
      </c>
      <c r="B10" s="7" t="s">
        <v>43</v>
      </c>
      <c r="C10" s="7" t="s">
        <v>45</v>
      </c>
      <c r="D10" s="7" t="n">
        <v>0</v>
      </c>
      <c r="E10" s="7" t="n">
        <v>2</v>
      </c>
      <c r="F10" s="7" t="n">
        <v>0.30616</v>
      </c>
      <c r="G10" s="7" t="n">
        <v>1755566</v>
      </c>
      <c r="H10" s="7" t="n">
        <v>862.432</v>
      </c>
    </row>
    <row r="11" customFormat="false" ht="15" hidden="false" customHeight="false" outlineLevel="0" collapsed="false">
      <c r="A11" s="7" t="s">
        <v>42</v>
      </c>
      <c r="B11" s="7" t="s">
        <v>43</v>
      </c>
      <c r="C11" s="7" t="s">
        <v>45</v>
      </c>
      <c r="D11" s="7" t="n">
        <v>1</v>
      </c>
      <c r="E11" s="7" t="n">
        <v>2</v>
      </c>
      <c r="F11" s="7" t="n">
        <v>0.11925</v>
      </c>
      <c r="G11" s="7" t="n">
        <v>1755833</v>
      </c>
      <c r="H11" s="7" t="n">
        <v>985.33</v>
      </c>
    </row>
    <row r="12" customFormat="false" ht="15" hidden="false" customHeight="false" outlineLevel="0" collapsed="false">
      <c r="A12" s="7" t="s">
        <v>42</v>
      </c>
      <c r="B12" s="7" t="s">
        <v>43</v>
      </c>
      <c r="C12" s="7" t="s">
        <v>45</v>
      </c>
      <c r="D12" s="7" t="n">
        <v>0</v>
      </c>
      <c r="E12" s="7" t="n">
        <v>3</v>
      </c>
      <c r="F12" s="7" t="n">
        <v>0.07214</v>
      </c>
      <c r="G12" s="7" t="n">
        <v>1754799</v>
      </c>
      <c r="H12" s="7" t="n">
        <v>1315.097</v>
      </c>
    </row>
    <row r="13" customFormat="false" ht="15" hidden="false" customHeight="false" outlineLevel="0" collapsed="false">
      <c r="A13" s="7" t="s">
        <v>42</v>
      </c>
      <c r="B13" s="7" t="s">
        <v>43</v>
      </c>
      <c r="C13" s="7" t="s">
        <v>45</v>
      </c>
      <c r="D13" s="7" t="n">
        <v>1</v>
      </c>
      <c r="E13" s="7" t="n">
        <v>3</v>
      </c>
      <c r="F13" s="7" t="n">
        <v>0.11768</v>
      </c>
      <c r="G13" s="7" t="n">
        <v>1754936</v>
      </c>
      <c r="H13" s="7" t="n">
        <v>1509.371</v>
      </c>
    </row>
    <row r="14" customFormat="false" ht="15" hidden="false" customHeight="false" outlineLevel="0" collapsed="false">
      <c r="A14" s="5" t="s">
        <v>46</v>
      </c>
      <c r="B14" s="5" t="s">
        <v>47</v>
      </c>
      <c r="C14" s="5" t="s">
        <v>44</v>
      </c>
      <c r="D14" s="5" t="n">
        <v>0</v>
      </c>
      <c r="E14" s="5" t="n">
        <v>1</v>
      </c>
      <c r="F14" s="5" t="n">
        <v>0.04098</v>
      </c>
      <c r="G14" s="5" t="n">
        <v>4562330</v>
      </c>
      <c r="H14" s="5" t="n">
        <v>142.014</v>
      </c>
    </row>
    <row r="15" customFormat="false" ht="15" hidden="false" customHeight="false" outlineLevel="0" collapsed="false">
      <c r="A15" s="5" t="s">
        <v>46</v>
      </c>
      <c r="B15" s="5" t="s">
        <v>47</v>
      </c>
      <c r="C15" s="5" t="s">
        <v>44</v>
      </c>
      <c r="D15" s="5" t="n">
        <v>1</v>
      </c>
      <c r="E15" s="5" t="n">
        <v>1</v>
      </c>
      <c r="F15" s="5" t="n">
        <v>0.04127</v>
      </c>
      <c r="G15" s="5" t="n">
        <v>4563210</v>
      </c>
      <c r="H15" s="5" t="n">
        <v>82.525</v>
      </c>
    </row>
    <row r="16" customFormat="false" ht="15" hidden="false" customHeight="false" outlineLevel="0" collapsed="false">
      <c r="A16" s="5" t="s">
        <v>46</v>
      </c>
      <c r="B16" s="5" t="s">
        <v>47</v>
      </c>
      <c r="C16" s="5" t="s">
        <v>44</v>
      </c>
      <c r="D16" s="5" t="n">
        <v>0</v>
      </c>
      <c r="E16" s="5" t="n">
        <v>2</v>
      </c>
      <c r="F16" s="5" t="n">
        <v>0.02688</v>
      </c>
      <c r="G16" s="5" t="n">
        <v>4563330</v>
      </c>
      <c r="H16" s="5" t="n">
        <v>274.996</v>
      </c>
    </row>
    <row r="17" customFormat="false" ht="15" hidden="false" customHeight="false" outlineLevel="0" collapsed="false">
      <c r="A17" s="5" t="s">
        <v>46</v>
      </c>
      <c r="B17" s="5" t="s">
        <v>47</v>
      </c>
      <c r="C17" s="5" t="s">
        <v>44</v>
      </c>
      <c r="D17" s="5" t="n">
        <v>1</v>
      </c>
      <c r="E17" s="5" t="n">
        <v>2</v>
      </c>
      <c r="F17" s="5" t="n">
        <v>0.02927</v>
      </c>
      <c r="G17" s="5" t="n">
        <v>4562842</v>
      </c>
      <c r="H17" s="5" t="n">
        <v>169.589</v>
      </c>
    </row>
    <row r="18" customFormat="false" ht="15" hidden="false" customHeight="false" outlineLevel="0" collapsed="false">
      <c r="A18" s="5" t="s">
        <v>46</v>
      </c>
      <c r="B18" s="5" t="s">
        <v>47</v>
      </c>
      <c r="C18" s="5" t="s">
        <v>44</v>
      </c>
      <c r="D18" s="5" t="n">
        <v>0</v>
      </c>
      <c r="E18" s="5" t="n">
        <v>3</v>
      </c>
      <c r="F18" s="5" t="n">
        <v>0.03293</v>
      </c>
      <c r="G18" s="5" t="n">
        <v>4562874</v>
      </c>
      <c r="H18" s="5" t="n">
        <v>415.029</v>
      </c>
    </row>
    <row r="19" customFormat="false" ht="15" hidden="false" customHeight="false" outlineLevel="0" collapsed="false">
      <c r="A19" s="5" t="s">
        <v>46</v>
      </c>
      <c r="B19" s="5" t="s">
        <v>47</v>
      </c>
      <c r="C19" s="5" t="s">
        <v>44</v>
      </c>
      <c r="D19" s="5" t="n">
        <v>1</v>
      </c>
      <c r="E19" s="5" t="n">
        <v>3</v>
      </c>
      <c r="F19" s="5" t="n">
        <v>0.02654</v>
      </c>
      <c r="G19" s="5" t="n">
        <v>4562738</v>
      </c>
      <c r="H19" s="5" t="n">
        <v>256.826</v>
      </c>
    </row>
    <row r="20" customFormat="false" ht="15" hidden="false" customHeight="false" outlineLevel="0" collapsed="false">
      <c r="A20" s="7" t="s">
        <v>46</v>
      </c>
      <c r="B20" s="7" t="s">
        <v>47</v>
      </c>
      <c r="C20" s="7" t="s">
        <v>45</v>
      </c>
      <c r="D20" s="7" t="n">
        <v>0</v>
      </c>
      <c r="E20" s="7" t="n">
        <v>1</v>
      </c>
      <c r="F20" s="7" t="n">
        <v>0.03408</v>
      </c>
      <c r="G20" s="7" t="n">
        <v>4563010</v>
      </c>
      <c r="H20" s="7" t="n">
        <v>641.977</v>
      </c>
    </row>
    <row r="21" customFormat="false" ht="15" hidden="false" customHeight="false" outlineLevel="0" collapsed="false">
      <c r="A21" s="7" t="s">
        <v>46</v>
      </c>
      <c r="B21" s="7" t="s">
        <v>47</v>
      </c>
      <c r="C21" s="7" t="s">
        <v>45</v>
      </c>
      <c r="D21" s="7" t="n">
        <v>1</v>
      </c>
      <c r="E21" s="7" t="n">
        <v>1</v>
      </c>
      <c r="F21" s="7" t="n">
        <v>0.02904</v>
      </c>
      <c r="G21" s="7" t="n">
        <v>4562642</v>
      </c>
      <c r="H21" s="7" t="n">
        <v>216.924</v>
      </c>
    </row>
    <row r="22" customFormat="false" ht="15" hidden="false" customHeight="false" outlineLevel="0" collapsed="false">
      <c r="A22" s="7" t="s">
        <v>46</v>
      </c>
      <c r="B22" s="7" t="s">
        <v>47</v>
      </c>
      <c r="C22" s="7" t="s">
        <v>45</v>
      </c>
      <c r="D22" s="7" t="n">
        <v>0</v>
      </c>
      <c r="E22" s="7" t="n">
        <v>2</v>
      </c>
      <c r="F22" s="7" t="n">
        <v>0.09525</v>
      </c>
      <c r="G22" s="7" t="n">
        <v>4564778</v>
      </c>
      <c r="H22" s="7" t="n">
        <v>1277.613</v>
      </c>
    </row>
    <row r="23" customFormat="false" ht="15" hidden="false" customHeight="false" outlineLevel="0" collapsed="false">
      <c r="A23" s="7" t="s">
        <v>46</v>
      </c>
      <c r="B23" s="7" t="s">
        <v>47</v>
      </c>
      <c r="C23" s="7" t="s">
        <v>45</v>
      </c>
      <c r="D23" s="7" t="n">
        <v>1</v>
      </c>
      <c r="E23" s="7" t="n">
        <v>2</v>
      </c>
      <c r="F23" s="7" t="n">
        <v>0.02879</v>
      </c>
      <c r="G23" s="7" t="n">
        <v>4563074</v>
      </c>
      <c r="H23" s="7" t="n">
        <v>402.1</v>
      </c>
    </row>
    <row r="24" customFormat="false" ht="15" hidden="false" customHeight="false" outlineLevel="0" collapsed="false">
      <c r="A24" s="7" t="s">
        <v>46</v>
      </c>
      <c r="B24" s="7" t="s">
        <v>47</v>
      </c>
      <c r="C24" s="7" t="s">
        <v>45</v>
      </c>
      <c r="D24" s="7" t="n">
        <v>0</v>
      </c>
      <c r="E24" s="7" t="n">
        <v>3</v>
      </c>
      <c r="F24" s="7" t="n">
        <v>0.04102</v>
      </c>
      <c r="G24" s="7" t="n">
        <v>4562958</v>
      </c>
      <c r="H24" s="7" t="n">
        <v>1906.574</v>
      </c>
    </row>
    <row r="25" customFormat="false" ht="15" hidden="false" customHeight="false" outlineLevel="0" collapsed="false">
      <c r="A25" s="7" t="s">
        <v>46</v>
      </c>
      <c r="B25" s="7" t="s">
        <v>47</v>
      </c>
      <c r="C25" s="7" t="s">
        <v>45</v>
      </c>
      <c r="D25" s="7" t="n">
        <v>1</v>
      </c>
      <c r="E25" s="7" t="n">
        <v>3</v>
      </c>
      <c r="F25" s="7" t="n">
        <v>0.10468</v>
      </c>
      <c r="G25" s="7" t="n">
        <v>4563214</v>
      </c>
      <c r="H25" s="7" t="n">
        <v>596.696</v>
      </c>
    </row>
    <row r="26" customFormat="false" ht="15" hidden="false" customHeight="false" outlineLevel="0" collapsed="false">
      <c r="A26" s="5" t="s">
        <v>48</v>
      </c>
      <c r="B26" s="5" t="s">
        <v>49</v>
      </c>
      <c r="C26" s="5" t="s">
        <v>44</v>
      </c>
      <c r="D26" s="5" t="n">
        <v>0</v>
      </c>
      <c r="E26" s="5" t="n">
        <v>1</v>
      </c>
      <c r="F26" s="5" t="n">
        <v>0.08529</v>
      </c>
      <c r="G26" s="5" t="n">
        <v>1998512</v>
      </c>
      <c r="H26" s="5" t="n">
        <v>140.722</v>
      </c>
    </row>
    <row r="27" customFormat="false" ht="15" hidden="false" customHeight="false" outlineLevel="0" collapsed="false">
      <c r="A27" s="5" t="s">
        <v>48</v>
      </c>
      <c r="B27" s="5" t="s">
        <v>49</v>
      </c>
      <c r="C27" s="5" t="s">
        <v>44</v>
      </c>
      <c r="D27" s="5" t="n">
        <v>1</v>
      </c>
      <c r="E27" s="5" t="n">
        <v>1</v>
      </c>
      <c r="F27" s="5" t="n">
        <v>0.07587</v>
      </c>
      <c r="G27" s="5" t="n">
        <v>1998056</v>
      </c>
      <c r="H27" s="5" t="n">
        <v>119.343</v>
      </c>
    </row>
    <row r="28" customFormat="false" ht="15" hidden="false" customHeight="false" outlineLevel="0" collapsed="false">
      <c r="A28" s="5" t="s">
        <v>48</v>
      </c>
      <c r="B28" s="5" t="s">
        <v>49</v>
      </c>
      <c r="C28" s="5" t="s">
        <v>44</v>
      </c>
      <c r="D28" s="5" t="n">
        <v>0</v>
      </c>
      <c r="E28" s="5" t="n">
        <v>2</v>
      </c>
      <c r="F28" s="5" t="n">
        <v>0.07221</v>
      </c>
      <c r="G28" s="5" t="n">
        <v>1997626</v>
      </c>
      <c r="H28" s="5" t="n">
        <v>288.602</v>
      </c>
    </row>
    <row r="29" customFormat="false" ht="15" hidden="false" customHeight="false" outlineLevel="0" collapsed="false">
      <c r="A29" s="5" t="s">
        <v>48</v>
      </c>
      <c r="B29" s="5" t="s">
        <v>49</v>
      </c>
      <c r="C29" s="5" t="s">
        <v>44</v>
      </c>
      <c r="D29" s="5" t="n">
        <v>1</v>
      </c>
      <c r="E29" s="5" t="n">
        <v>2</v>
      </c>
      <c r="F29" s="5" t="n">
        <v>0.07149</v>
      </c>
      <c r="G29" s="5" t="n">
        <v>1997682</v>
      </c>
      <c r="H29" s="5" t="n">
        <v>232.541</v>
      </c>
    </row>
    <row r="30" customFormat="false" ht="15" hidden="false" customHeight="false" outlineLevel="0" collapsed="false">
      <c r="A30" s="5" t="s">
        <v>48</v>
      </c>
      <c r="B30" s="5" t="s">
        <v>49</v>
      </c>
      <c r="C30" s="5" t="s">
        <v>44</v>
      </c>
      <c r="D30" s="5" t="n">
        <v>0</v>
      </c>
      <c r="E30" s="5" t="n">
        <v>3</v>
      </c>
      <c r="F30" s="5" t="n">
        <v>0.06566</v>
      </c>
      <c r="G30" s="5" t="n">
        <v>1996471</v>
      </c>
      <c r="H30" s="5" t="n">
        <v>435.416</v>
      </c>
    </row>
    <row r="31" customFormat="false" ht="15" hidden="false" customHeight="false" outlineLevel="0" collapsed="false">
      <c r="A31" s="5" t="s">
        <v>48</v>
      </c>
      <c r="B31" s="5" t="s">
        <v>49</v>
      </c>
      <c r="C31" s="5" t="s">
        <v>44</v>
      </c>
      <c r="D31" s="5" t="n">
        <v>1</v>
      </c>
      <c r="E31" s="5" t="n">
        <v>3</v>
      </c>
      <c r="F31" s="5" t="n">
        <v>0.07144</v>
      </c>
      <c r="G31" s="5" t="n">
        <v>1996695</v>
      </c>
      <c r="H31" s="5" t="n">
        <v>341.546</v>
      </c>
    </row>
    <row r="32" customFormat="false" ht="15" hidden="false" customHeight="false" outlineLevel="0" collapsed="false">
      <c r="A32" s="7" t="s">
        <v>48</v>
      </c>
      <c r="B32" s="7" t="s">
        <v>49</v>
      </c>
      <c r="C32" s="7" t="s">
        <v>45</v>
      </c>
      <c r="D32" s="7" t="n">
        <v>0</v>
      </c>
      <c r="E32" s="7" t="n">
        <v>1</v>
      </c>
      <c r="F32" s="7" t="n">
        <v>0.09699</v>
      </c>
      <c r="G32" s="7" t="n">
        <v>1998283</v>
      </c>
      <c r="H32" s="7" t="n">
        <v>626.502</v>
      </c>
    </row>
    <row r="33" customFormat="false" ht="15" hidden="false" customHeight="false" outlineLevel="0" collapsed="false">
      <c r="A33" s="7" t="s">
        <v>48</v>
      </c>
      <c r="B33" s="7" t="s">
        <v>49</v>
      </c>
      <c r="C33" s="7" t="s">
        <v>45</v>
      </c>
      <c r="D33" s="7" t="n">
        <v>1</v>
      </c>
      <c r="E33" s="7" t="n">
        <v>1</v>
      </c>
      <c r="F33" s="7" t="n">
        <v>0.07806</v>
      </c>
      <c r="G33" s="7" t="n">
        <v>1998995</v>
      </c>
      <c r="H33" s="7" t="n">
        <v>353.452</v>
      </c>
    </row>
    <row r="34" customFormat="false" ht="15" hidden="false" customHeight="false" outlineLevel="0" collapsed="false">
      <c r="A34" s="7" t="s">
        <v>48</v>
      </c>
      <c r="B34" s="7" t="s">
        <v>49</v>
      </c>
      <c r="C34" s="7" t="s">
        <v>45</v>
      </c>
      <c r="D34" s="7" t="n">
        <v>0</v>
      </c>
      <c r="E34" s="7" t="n">
        <v>2</v>
      </c>
      <c r="F34" s="7" t="n">
        <v>0.09893</v>
      </c>
      <c r="G34" s="7" t="n">
        <v>1997206</v>
      </c>
      <c r="H34" s="7" t="n">
        <v>1227.321</v>
      </c>
    </row>
    <row r="35" customFormat="false" ht="15" hidden="false" customHeight="false" outlineLevel="0" collapsed="false">
      <c r="A35" s="7" t="s">
        <v>48</v>
      </c>
      <c r="B35" s="7" t="s">
        <v>49</v>
      </c>
      <c r="C35" s="7" t="s">
        <v>45</v>
      </c>
      <c r="D35" s="7" t="n">
        <v>1</v>
      </c>
      <c r="E35" s="7" t="n">
        <v>2</v>
      </c>
      <c r="F35" s="7" t="n">
        <v>0.08822</v>
      </c>
      <c r="G35" s="7" t="n">
        <v>1997664</v>
      </c>
      <c r="H35" s="7" t="n">
        <v>717.705</v>
      </c>
    </row>
    <row r="36" customFormat="false" ht="15" hidden="false" customHeight="false" outlineLevel="0" collapsed="false">
      <c r="A36" s="7" t="s">
        <v>48</v>
      </c>
      <c r="B36" s="7" t="s">
        <v>49</v>
      </c>
      <c r="C36" s="7" t="s">
        <v>45</v>
      </c>
      <c r="D36" s="7" t="n">
        <v>0</v>
      </c>
      <c r="E36" s="7" t="n">
        <v>3</v>
      </c>
      <c r="F36" s="7" t="n">
        <v>0.29148</v>
      </c>
      <c r="G36" s="7" t="n">
        <v>1996683</v>
      </c>
      <c r="H36" s="7" t="n">
        <v>1830.444</v>
      </c>
    </row>
    <row r="37" customFormat="false" ht="15" hidden="false" customHeight="false" outlineLevel="0" collapsed="false">
      <c r="A37" s="7" t="s">
        <v>48</v>
      </c>
      <c r="B37" s="7" t="s">
        <v>49</v>
      </c>
      <c r="C37" s="7" t="s">
        <v>45</v>
      </c>
      <c r="D37" s="7" t="n">
        <v>1</v>
      </c>
      <c r="E37" s="7" t="n">
        <v>3</v>
      </c>
      <c r="F37" s="7" t="n">
        <v>0.0731</v>
      </c>
      <c r="G37" s="7" t="n">
        <v>1997290</v>
      </c>
      <c r="H37" s="7" t="n">
        <v>1076.358</v>
      </c>
    </row>
    <row r="38" customFormat="false" ht="15" hidden="false" customHeight="false" outlineLevel="0" collapsed="false">
      <c r="A38" s="5" t="s">
        <v>50</v>
      </c>
      <c r="B38" s="5" t="s">
        <v>51</v>
      </c>
      <c r="C38" s="5" t="s">
        <v>44</v>
      </c>
      <c r="D38" s="5" t="n">
        <v>0</v>
      </c>
      <c r="E38" s="5" t="n">
        <v>1</v>
      </c>
      <c r="F38" s="5" t="n">
        <v>0.07256</v>
      </c>
      <c r="G38" s="5" t="n">
        <v>1998246</v>
      </c>
      <c r="H38" s="5" t="n">
        <v>167.001</v>
      </c>
    </row>
    <row r="39" customFormat="false" ht="15" hidden="false" customHeight="false" outlineLevel="0" collapsed="false">
      <c r="A39" s="5" t="s">
        <v>50</v>
      </c>
      <c r="B39" s="5" t="s">
        <v>51</v>
      </c>
      <c r="C39" s="5" t="s">
        <v>44</v>
      </c>
      <c r="D39" s="5" t="n">
        <v>1</v>
      </c>
      <c r="E39" s="5" t="n">
        <v>1</v>
      </c>
      <c r="F39" s="5" t="n">
        <v>0.09562</v>
      </c>
      <c r="G39" s="5" t="n">
        <v>1998254</v>
      </c>
      <c r="H39" s="5" t="n">
        <v>119.446</v>
      </c>
    </row>
    <row r="40" customFormat="false" ht="15" hidden="false" customHeight="false" outlineLevel="0" collapsed="false">
      <c r="A40" s="5" t="s">
        <v>50</v>
      </c>
      <c r="B40" s="5" t="s">
        <v>51</v>
      </c>
      <c r="C40" s="5" t="s">
        <v>44</v>
      </c>
      <c r="D40" s="5" t="n">
        <v>0</v>
      </c>
      <c r="E40" s="5" t="n">
        <v>2</v>
      </c>
      <c r="F40" s="5" t="n">
        <v>0.06608</v>
      </c>
      <c r="G40" s="5" t="n">
        <v>1997792</v>
      </c>
      <c r="H40" s="5" t="n">
        <v>318.712</v>
      </c>
    </row>
    <row r="41" customFormat="false" ht="15" hidden="false" customHeight="false" outlineLevel="0" collapsed="false">
      <c r="A41" s="5" t="s">
        <v>50</v>
      </c>
      <c r="B41" s="5" t="s">
        <v>51</v>
      </c>
      <c r="C41" s="5" t="s">
        <v>44</v>
      </c>
      <c r="D41" s="5" t="n">
        <v>1</v>
      </c>
      <c r="E41" s="5" t="n">
        <v>2</v>
      </c>
      <c r="F41" s="5" t="n">
        <v>0.07118</v>
      </c>
      <c r="G41" s="5" t="n">
        <v>1997709</v>
      </c>
      <c r="H41" s="5" t="n">
        <v>243.485</v>
      </c>
    </row>
    <row r="42" customFormat="false" ht="15" hidden="false" customHeight="false" outlineLevel="0" collapsed="false">
      <c r="A42" s="5" t="s">
        <v>50</v>
      </c>
      <c r="B42" s="5" t="s">
        <v>51</v>
      </c>
      <c r="C42" s="5" t="s">
        <v>44</v>
      </c>
      <c r="D42" s="5" t="n">
        <v>0</v>
      </c>
      <c r="E42" s="5" t="n">
        <v>3</v>
      </c>
      <c r="F42" s="5" t="n">
        <v>0.06746</v>
      </c>
      <c r="G42" s="5" t="n">
        <v>1997011</v>
      </c>
      <c r="H42" s="5" t="n">
        <v>477.099</v>
      </c>
    </row>
    <row r="43" customFormat="false" ht="15" hidden="false" customHeight="false" outlineLevel="0" collapsed="false">
      <c r="A43" s="5" t="s">
        <v>50</v>
      </c>
      <c r="B43" s="5" t="s">
        <v>51</v>
      </c>
      <c r="C43" s="5" t="s">
        <v>44</v>
      </c>
      <c r="D43" s="5" t="n">
        <v>1</v>
      </c>
      <c r="E43" s="5" t="n">
        <v>3</v>
      </c>
      <c r="F43" s="5" t="n">
        <v>0.06836</v>
      </c>
      <c r="G43" s="5" t="n">
        <v>1996488</v>
      </c>
      <c r="H43" s="5" t="n">
        <v>369.904</v>
      </c>
    </row>
    <row r="44" customFormat="false" ht="15" hidden="false" customHeight="false" outlineLevel="0" collapsed="false">
      <c r="A44" s="7" t="s">
        <v>50</v>
      </c>
      <c r="B44" s="7" t="s">
        <v>51</v>
      </c>
      <c r="C44" s="7" t="s">
        <v>45</v>
      </c>
      <c r="D44" s="7" t="n">
        <v>0</v>
      </c>
      <c r="E44" s="7" t="n">
        <v>1</v>
      </c>
      <c r="F44" s="7" t="n">
        <v>0.16837</v>
      </c>
      <c r="G44" s="7" t="n">
        <v>1998079</v>
      </c>
      <c r="H44" s="7" t="n">
        <v>306.975</v>
      </c>
    </row>
    <row r="45" customFormat="false" ht="15" hidden="false" customHeight="false" outlineLevel="0" collapsed="false">
      <c r="A45" s="7" t="s">
        <v>50</v>
      </c>
      <c r="B45" s="7" t="s">
        <v>51</v>
      </c>
      <c r="C45" s="7" t="s">
        <v>45</v>
      </c>
      <c r="D45" s="7" t="n">
        <v>1</v>
      </c>
      <c r="E45" s="7" t="n">
        <v>1</v>
      </c>
      <c r="F45" s="7" t="n">
        <v>0.10892</v>
      </c>
      <c r="G45" s="7" t="n">
        <v>1998239</v>
      </c>
      <c r="H45" s="7" t="n">
        <v>224.491</v>
      </c>
    </row>
    <row r="46" customFormat="false" ht="15" hidden="false" customHeight="false" outlineLevel="0" collapsed="false">
      <c r="A46" s="7" t="s">
        <v>50</v>
      </c>
      <c r="B46" s="7" t="s">
        <v>51</v>
      </c>
      <c r="C46" s="7" t="s">
        <v>45</v>
      </c>
      <c r="D46" s="7" t="n">
        <v>0</v>
      </c>
      <c r="E46" s="7" t="n">
        <v>2</v>
      </c>
      <c r="F46" s="7" t="n">
        <v>0.08646</v>
      </c>
      <c r="G46" s="7" t="n">
        <v>1996729</v>
      </c>
      <c r="H46" s="7" t="n">
        <v>569.66</v>
      </c>
    </row>
    <row r="47" customFormat="false" ht="15" hidden="false" customHeight="false" outlineLevel="0" collapsed="false">
      <c r="A47" s="7" t="s">
        <v>50</v>
      </c>
      <c r="B47" s="7" t="s">
        <v>51</v>
      </c>
      <c r="C47" s="7" t="s">
        <v>45</v>
      </c>
      <c r="D47" s="7" t="n">
        <v>1</v>
      </c>
      <c r="E47" s="7" t="n">
        <v>2</v>
      </c>
      <c r="F47" s="7" t="n">
        <v>0.17902</v>
      </c>
      <c r="G47" s="7" t="n">
        <v>1997622</v>
      </c>
      <c r="H47" s="7" t="n">
        <v>462.438</v>
      </c>
    </row>
    <row r="48" customFormat="false" ht="15" hidden="false" customHeight="false" outlineLevel="0" collapsed="false">
      <c r="A48" s="7" t="s">
        <v>50</v>
      </c>
      <c r="B48" s="7" t="s">
        <v>51</v>
      </c>
      <c r="C48" s="7" t="s">
        <v>45</v>
      </c>
      <c r="D48" s="7" t="n">
        <v>0</v>
      </c>
      <c r="E48" s="7" t="n">
        <v>3</v>
      </c>
      <c r="F48" s="7" t="n">
        <v>0.07873</v>
      </c>
      <c r="G48" s="7" t="n">
        <v>1996494</v>
      </c>
      <c r="H48" s="7" t="n">
        <v>846.009</v>
      </c>
    </row>
    <row r="49" customFormat="false" ht="15" hidden="false" customHeight="false" outlineLevel="0" collapsed="false">
      <c r="A49" s="7" t="s">
        <v>50</v>
      </c>
      <c r="B49" s="7" t="s">
        <v>51</v>
      </c>
      <c r="C49" s="7" t="s">
        <v>45</v>
      </c>
      <c r="D49" s="7" t="n">
        <v>1</v>
      </c>
      <c r="E49" s="7" t="n">
        <v>3</v>
      </c>
      <c r="F49" s="7" t="n">
        <v>0.09786</v>
      </c>
      <c r="G49" s="7" t="n">
        <v>1996404</v>
      </c>
      <c r="H49" s="7" t="n">
        <v>697.627</v>
      </c>
    </row>
    <row r="50" customFormat="false" ht="15" hidden="false" customHeight="false" outlineLevel="0" collapsed="false">
      <c r="A50" s="5" t="s">
        <v>52</v>
      </c>
      <c r="B50" s="5" t="s">
        <v>53</v>
      </c>
      <c r="C50" s="5" t="s">
        <v>44</v>
      </c>
      <c r="D50" s="5" t="n">
        <v>0</v>
      </c>
      <c r="E50" s="5" t="n">
        <v>1</v>
      </c>
      <c r="F50" s="5" t="n">
        <v>0.15085</v>
      </c>
      <c r="G50" s="5" t="n">
        <v>2829057</v>
      </c>
      <c r="H50" s="5" t="n">
        <v>720.88</v>
      </c>
    </row>
    <row r="51" customFormat="false" ht="15" hidden="false" customHeight="false" outlineLevel="0" collapsed="false">
      <c r="A51" s="5" t="s">
        <v>52</v>
      </c>
      <c r="B51" s="5" t="s">
        <v>53</v>
      </c>
      <c r="C51" s="5" t="s">
        <v>44</v>
      </c>
      <c r="D51" s="5" t="n">
        <v>1</v>
      </c>
      <c r="E51" s="5" t="n">
        <v>1</v>
      </c>
      <c r="F51" s="5" t="n">
        <v>0.12294</v>
      </c>
      <c r="G51" s="5" t="n">
        <v>2829704</v>
      </c>
      <c r="H51" s="5" t="n">
        <v>705.367</v>
      </c>
    </row>
    <row r="52" customFormat="false" ht="15" hidden="false" customHeight="false" outlineLevel="0" collapsed="false">
      <c r="A52" s="5" t="s">
        <v>52</v>
      </c>
      <c r="B52" s="5" t="s">
        <v>53</v>
      </c>
      <c r="C52" s="5" t="s">
        <v>44</v>
      </c>
      <c r="D52" s="5" t="n">
        <v>0</v>
      </c>
      <c r="E52" s="5" t="n">
        <v>2</v>
      </c>
      <c r="F52" s="5" t="n">
        <v>0.11147</v>
      </c>
      <c r="G52" s="5" t="n">
        <v>2828080</v>
      </c>
      <c r="H52" s="5" t="n">
        <v>1407.232</v>
      </c>
    </row>
    <row r="53" customFormat="false" ht="15" hidden="false" customHeight="false" outlineLevel="0" collapsed="false">
      <c r="A53" s="5" t="s">
        <v>52</v>
      </c>
      <c r="B53" s="5" t="s">
        <v>53</v>
      </c>
      <c r="C53" s="5" t="s">
        <v>44</v>
      </c>
      <c r="D53" s="5" t="n">
        <v>1</v>
      </c>
      <c r="E53" s="5" t="n">
        <v>2</v>
      </c>
      <c r="F53" s="5" t="n">
        <v>0.11793</v>
      </c>
      <c r="G53" s="5" t="n">
        <v>2829193</v>
      </c>
      <c r="H53" s="5" t="n">
        <v>1386.499</v>
      </c>
    </row>
    <row r="54" customFormat="false" ht="15" hidden="false" customHeight="false" outlineLevel="0" collapsed="false">
      <c r="A54" s="5" t="s">
        <v>52</v>
      </c>
      <c r="B54" s="5" t="s">
        <v>53</v>
      </c>
      <c r="C54" s="5" t="s">
        <v>44</v>
      </c>
      <c r="D54" s="5" t="n">
        <v>0</v>
      </c>
      <c r="E54" s="5" t="n">
        <v>3</v>
      </c>
      <c r="F54" s="5" t="n">
        <v>0.10538</v>
      </c>
      <c r="G54" s="5" t="n">
        <v>2828110</v>
      </c>
      <c r="H54" s="5" t="n">
        <v>2090.384</v>
      </c>
    </row>
    <row r="55" customFormat="false" ht="15" hidden="false" customHeight="false" outlineLevel="0" collapsed="false">
      <c r="A55" s="5" t="s">
        <v>52</v>
      </c>
      <c r="B55" s="5" t="s">
        <v>53</v>
      </c>
      <c r="C55" s="5" t="s">
        <v>44</v>
      </c>
      <c r="D55" s="5" t="n">
        <v>1</v>
      </c>
      <c r="E55" s="5" t="n">
        <v>3</v>
      </c>
      <c r="F55" s="5" t="n">
        <v>0.11144</v>
      </c>
      <c r="G55" s="5" t="n">
        <v>2828752</v>
      </c>
      <c r="H55" s="5" t="n">
        <v>2054.688</v>
      </c>
    </row>
    <row r="56" customFormat="false" ht="15" hidden="false" customHeight="false" outlineLevel="0" collapsed="false">
      <c r="A56" s="7" t="s">
        <v>52</v>
      </c>
      <c r="B56" s="7" t="s">
        <v>53</v>
      </c>
      <c r="C56" s="7" t="s">
        <v>45</v>
      </c>
      <c r="D56" s="7" t="n">
        <v>0</v>
      </c>
      <c r="E56" s="7" t="n">
        <v>1</v>
      </c>
      <c r="F56" s="7" t="n">
        <v>0.30212</v>
      </c>
      <c r="G56" s="7" t="n">
        <v>2829752</v>
      </c>
      <c r="H56" s="7" t="n">
        <v>2642.791</v>
      </c>
    </row>
    <row r="57" customFormat="false" ht="15" hidden="false" customHeight="false" outlineLevel="0" collapsed="false">
      <c r="A57" s="7" t="s">
        <v>52</v>
      </c>
      <c r="B57" s="7" t="s">
        <v>53</v>
      </c>
      <c r="C57" s="7" t="s">
        <v>45</v>
      </c>
      <c r="D57" s="7" t="n">
        <v>1</v>
      </c>
      <c r="E57" s="7" t="n">
        <v>1</v>
      </c>
      <c r="F57" s="7" t="n">
        <v>0.29077</v>
      </c>
      <c r="G57" s="7" t="n">
        <v>2828911</v>
      </c>
      <c r="H57" s="7" t="n">
        <v>2110.849</v>
      </c>
    </row>
    <row r="58" customFormat="false" ht="15" hidden="false" customHeight="false" outlineLevel="0" collapsed="false">
      <c r="A58" s="7" t="s">
        <v>52</v>
      </c>
      <c r="B58" s="7" t="s">
        <v>53</v>
      </c>
      <c r="C58" s="7" t="s">
        <v>45</v>
      </c>
      <c r="D58" s="7" t="n">
        <v>0</v>
      </c>
      <c r="E58" s="7" t="n">
        <v>2</v>
      </c>
      <c r="F58" s="7" t="n">
        <v>0.24979</v>
      </c>
      <c r="G58" s="7" t="n">
        <v>2829294</v>
      </c>
      <c r="H58" s="7" t="n">
        <v>5268.811</v>
      </c>
    </row>
    <row r="59" customFormat="false" ht="15" hidden="false" customHeight="false" outlineLevel="0" collapsed="false">
      <c r="A59" s="7" t="s">
        <v>52</v>
      </c>
      <c r="B59" s="7" t="s">
        <v>53</v>
      </c>
      <c r="C59" s="7" t="s">
        <v>45</v>
      </c>
      <c r="D59" s="7" t="n">
        <v>1</v>
      </c>
      <c r="E59" s="7" t="n">
        <v>2</v>
      </c>
      <c r="F59" s="7" t="n">
        <v>0.34254</v>
      </c>
      <c r="G59" s="7" t="n">
        <v>2828295</v>
      </c>
      <c r="H59" s="7" t="n">
        <v>4277.058</v>
      </c>
    </row>
    <row r="60" customFormat="false" ht="15" hidden="false" customHeight="false" outlineLevel="0" collapsed="false">
      <c r="A60" s="7" t="s">
        <v>52</v>
      </c>
      <c r="B60" s="7" t="s">
        <v>53</v>
      </c>
      <c r="C60" s="7" t="s">
        <v>45</v>
      </c>
      <c r="D60" s="7" t="n">
        <v>0</v>
      </c>
      <c r="E60" s="7" t="n">
        <v>3</v>
      </c>
      <c r="F60" s="7" t="n">
        <v>0.48524</v>
      </c>
      <c r="G60" s="7" t="n">
        <v>2828639</v>
      </c>
      <c r="H60" s="7" t="n">
        <v>7929.573</v>
      </c>
    </row>
    <row r="61" customFormat="false" ht="15" hidden="false" customHeight="false" outlineLevel="0" collapsed="false">
      <c r="A61" s="7" t="s">
        <v>52</v>
      </c>
      <c r="B61" s="7" t="s">
        <v>53</v>
      </c>
      <c r="C61" s="7" t="s">
        <v>45</v>
      </c>
      <c r="D61" s="7" t="n">
        <v>1</v>
      </c>
      <c r="E61" s="7" t="n">
        <v>3</v>
      </c>
      <c r="F61" s="7" t="n">
        <v>0.3826</v>
      </c>
      <c r="G61" s="7" t="n">
        <v>2827765</v>
      </c>
      <c r="H61" s="7" t="n">
        <v>6424.467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57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  <c r="K1" s="4" t="s">
        <v>81</v>
      </c>
      <c r="L1" s="4" t="s">
        <v>82</v>
      </c>
      <c r="M1" s="4" t="s">
        <v>83</v>
      </c>
    </row>
    <row r="2" customFormat="false" ht="15" hidden="false" customHeight="false" outlineLevel="0" collapsed="false">
      <c r="A2" s="5" t="s">
        <v>42</v>
      </c>
      <c r="B2" s="5" t="s">
        <v>43</v>
      </c>
      <c r="C2" s="5" t="s">
        <v>44</v>
      </c>
      <c r="D2" s="5" t="n">
        <v>1</v>
      </c>
      <c r="E2" s="5"/>
      <c r="F2" s="5"/>
      <c r="G2" s="5"/>
      <c r="H2" s="5"/>
      <c r="I2" s="5" t="n">
        <v>0.04352</v>
      </c>
      <c r="J2" s="5" t="n">
        <v>10</v>
      </c>
      <c r="K2" s="5" t="n">
        <v>2</v>
      </c>
      <c r="L2" s="5" t="n">
        <v>10</v>
      </c>
      <c r="M2" s="5" t="n">
        <v>0</v>
      </c>
    </row>
    <row r="3" customFormat="false" ht="15" hidden="false" customHeight="false" outlineLevel="0" collapsed="false">
      <c r="A3" s="5" t="s">
        <v>42</v>
      </c>
      <c r="B3" s="5" t="s">
        <v>43</v>
      </c>
      <c r="C3" s="5" t="s">
        <v>44</v>
      </c>
      <c r="D3" s="5" t="n">
        <v>2</v>
      </c>
      <c r="E3" s="5"/>
      <c r="F3" s="5"/>
      <c r="G3" s="5"/>
      <c r="H3" s="5"/>
      <c r="I3" s="5" t="n">
        <v>0.01614</v>
      </c>
      <c r="J3" s="5" t="n">
        <v>10</v>
      </c>
      <c r="K3" s="5" t="n">
        <v>2</v>
      </c>
      <c r="L3" s="5" t="n">
        <v>10</v>
      </c>
      <c r="M3" s="5" t="n">
        <v>0</v>
      </c>
    </row>
    <row r="4" customFormat="false" ht="15" hidden="false" customHeight="false" outlineLevel="0" collapsed="false">
      <c r="A4" s="5" t="s">
        <v>42</v>
      </c>
      <c r="B4" s="5" t="s">
        <v>43</v>
      </c>
      <c r="C4" s="5" t="s">
        <v>44</v>
      </c>
      <c r="D4" s="5" t="n">
        <v>3</v>
      </c>
      <c r="E4" s="5"/>
      <c r="F4" s="5"/>
      <c r="G4" s="5"/>
      <c r="H4" s="5"/>
      <c r="I4" s="5" t="n">
        <v>0.01095</v>
      </c>
      <c r="J4" s="5" t="n">
        <v>10</v>
      </c>
      <c r="K4" s="5" t="n">
        <v>2</v>
      </c>
      <c r="L4" s="5" t="n">
        <v>10</v>
      </c>
      <c r="M4" s="5" t="n">
        <v>0</v>
      </c>
    </row>
    <row r="5" customFormat="false" ht="15" hidden="false" customHeight="false" outlineLevel="0" collapsed="false">
      <c r="A5" s="7" t="s">
        <v>42</v>
      </c>
      <c r="B5" s="7" t="s">
        <v>43</v>
      </c>
      <c r="C5" s="7" t="s">
        <v>45</v>
      </c>
      <c r="D5" s="7" t="n">
        <v>1</v>
      </c>
      <c r="E5" s="7"/>
      <c r="F5" s="7"/>
      <c r="G5" s="7"/>
      <c r="H5" s="7"/>
      <c r="I5" s="7" t="n">
        <v>0.10191</v>
      </c>
      <c r="J5" s="7" t="n">
        <v>10</v>
      </c>
      <c r="K5" s="7" t="n">
        <v>2</v>
      </c>
      <c r="L5" s="7" t="n">
        <v>10</v>
      </c>
      <c r="M5" s="7" t="n">
        <v>0</v>
      </c>
    </row>
    <row r="6" customFormat="false" ht="15" hidden="false" customHeight="false" outlineLevel="0" collapsed="false">
      <c r="A6" s="7" t="s">
        <v>42</v>
      </c>
      <c r="B6" s="7" t="s">
        <v>43</v>
      </c>
      <c r="C6" s="7" t="s">
        <v>45</v>
      </c>
      <c r="D6" s="7" t="n">
        <v>2</v>
      </c>
      <c r="E6" s="7"/>
      <c r="F6" s="7"/>
      <c r="G6" s="7"/>
      <c r="H6" s="7"/>
      <c r="I6" s="7" t="n">
        <v>0.01883</v>
      </c>
      <c r="J6" s="7" t="n">
        <v>10</v>
      </c>
      <c r="K6" s="7" t="n">
        <v>2</v>
      </c>
      <c r="L6" s="7" t="n">
        <v>10</v>
      </c>
      <c r="M6" s="7" t="n">
        <v>0</v>
      </c>
    </row>
    <row r="7" customFormat="false" ht="15" hidden="false" customHeight="false" outlineLevel="0" collapsed="false">
      <c r="A7" s="7" t="s">
        <v>42</v>
      </c>
      <c r="B7" s="7" t="s">
        <v>43</v>
      </c>
      <c r="C7" s="7" t="s">
        <v>45</v>
      </c>
      <c r="D7" s="7" t="n">
        <v>3</v>
      </c>
      <c r="E7" s="7"/>
      <c r="F7" s="7"/>
      <c r="G7" s="7"/>
      <c r="H7" s="7"/>
      <c r="I7" s="7" t="n">
        <v>0.06459</v>
      </c>
      <c r="J7" s="7" t="n">
        <v>10</v>
      </c>
      <c r="K7" s="7" t="n">
        <v>2</v>
      </c>
      <c r="L7" s="7" t="n">
        <v>10</v>
      </c>
      <c r="M7" s="7" t="n">
        <v>0</v>
      </c>
    </row>
    <row r="8" customFormat="false" ht="15" hidden="false" customHeight="false" outlineLevel="0" collapsed="false">
      <c r="A8" s="5" t="s">
        <v>46</v>
      </c>
      <c r="B8" s="5" t="s">
        <v>47</v>
      </c>
      <c r="C8" s="5" t="s">
        <v>44</v>
      </c>
      <c r="D8" s="5" t="n">
        <v>1</v>
      </c>
      <c r="E8" s="5" t="n">
        <v>0.11704</v>
      </c>
      <c r="F8" s="5" t="n">
        <v>0.02986</v>
      </c>
      <c r="G8" s="5"/>
      <c r="H8" s="5"/>
      <c r="I8" s="5"/>
      <c r="J8" s="5"/>
      <c r="K8" s="5"/>
      <c r="L8" s="5"/>
      <c r="M8" s="5"/>
    </row>
    <row r="9" customFormat="false" ht="15" hidden="false" customHeight="false" outlineLevel="0" collapsed="false">
      <c r="A9" s="5" t="s">
        <v>46</v>
      </c>
      <c r="B9" s="5" t="s">
        <v>47</v>
      </c>
      <c r="C9" s="5" t="s">
        <v>44</v>
      </c>
      <c r="D9" s="5" t="n">
        <v>2</v>
      </c>
      <c r="E9" s="5" t="n">
        <v>0.11847</v>
      </c>
      <c r="F9" s="5" t="n">
        <v>0.02475</v>
      </c>
      <c r="G9" s="5"/>
      <c r="H9" s="5"/>
      <c r="I9" s="5"/>
      <c r="J9" s="5"/>
      <c r="K9" s="5"/>
      <c r="L9" s="5"/>
      <c r="M9" s="5"/>
    </row>
    <row r="10" customFormat="false" ht="15" hidden="false" customHeight="false" outlineLevel="0" collapsed="false">
      <c r="A10" s="5" t="s">
        <v>46</v>
      </c>
      <c r="B10" s="5" t="s">
        <v>47</v>
      </c>
      <c r="C10" s="5" t="s">
        <v>44</v>
      </c>
      <c r="D10" s="5" t="n">
        <v>3</v>
      </c>
      <c r="E10" s="5" t="n">
        <v>0.11473</v>
      </c>
      <c r="F10" s="5" t="n">
        <v>0.02753</v>
      </c>
      <c r="G10" s="5"/>
      <c r="H10" s="5"/>
      <c r="I10" s="5"/>
      <c r="J10" s="5"/>
      <c r="K10" s="5"/>
      <c r="L10" s="5"/>
      <c r="M10" s="5"/>
    </row>
    <row r="11" customFormat="false" ht="15" hidden="false" customHeight="false" outlineLevel="0" collapsed="false">
      <c r="A11" s="7" t="s">
        <v>46</v>
      </c>
      <c r="B11" s="7" t="s">
        <v>47</v>
      </c>
      <c r="C11" s="7" t="s">
        <v>45</v>
      </c>
      <c r="D11" s="7" t="n">
        <v>1</v>
      </c>
      <c r="E11" s="7" t="n">
        <v>0.28172</v>
      </c>
      <c r="F11" s="7" t="n">
        <v>0.0298</v>
      </c>
      <c r="G11" s="7"/>
      <c r="H11" s="7"/>
      <c r="I11" s="7"/>
      <c r="J11" s="7"/>
      <c r="K11" s="7"/>
      <c r="L11" s="7"/>
      <c r="M11" s="7"/>
    </row>
    <row r="12" customFormat="false" ht="15" hidden="false" customHeight="false" outlineLevel="0" collapsed="false">
      <c r="A12" s="7" t="s">
        <v>46</v>
      </c>
      <c r="B12" s="7" t="s">
        <v>47</v>
      </c>
      <c r="C12" s="7" t="s">
        <v>45</v>
      </c>
      <c r="D12" s="7" t="n">
        <v>2</v>
      </c>
      <c r="E12" s="7" t="n">
        <v>0.22805</v>
      </c>
      <c r="F12" s="7" t="n">
        <v>0.0778</v>
      </c>
      <c r="G12" s="7"/>
      <c r="H12" s="7"/>
      <c r="I12" s="7"/>
      <c r="J12" s="7"/>
      <c r="K12" s="7"/>
      <c r="L12" s="7"/>
      <c r="M12" s="7"/>
    </row>
    <row r="13" customFormat="false" ht="15" hidden="false" customHeight="false" outlineLevel="0" collapsed="false">
      <c r="A13" s="7" t="s">
        <v>46</v>
      </c>
      <c r="B13" s="7" t="s">
        <v>47</v>
      </c>
      <c r="C13" s="7" t="s">
        <v>45</v>
      </c>
      <c r="D13" s="7" t="n">
        <v>3</v>
      </c>
      <c r="E13" s="7" t="n">
        <v>0.25723</v>
      </c>
      <c r="F13" s="7" t="n">
        <v>0.02687</v>
      </c>
      <c r="G13" s="7"/>
      <c r="H13" s="7"/>
      <c r="I13" s="7"/>
      <c r="J13" s="7"/>
      <c r="K13" s="7"/>
      <c r="L13" s="7"/>
      <c r="M13" s="7"/>
    </row>
    <row r="14" customFormat="false" ht="15" hidden="false" customHeight="false" outlineLevel="0" collapsed="false">
      <c r="A14" s="5" t="s">
        <v>48</v>
      </c>
      <c r="B14" s="5" t="s">
        <v>49</v>
      </c>
      <c r="C14" s="5" t="s">
        <v>44</v>
      </c>
      <c r="D14" s="5" t="n">
        <v>1</v>
      </c>
      <c r="E14" s="5" t="n">
        <v>0.01251</v>
      </c>
      <c r="F14" s="5" t="n">
        <v>0.00168</v>
      </c>
      <c r="G14" s="5"/>
      <c r="H14" s="5"/>
      <c r="I14" s="5"/>
      <c r="J14" s="5"/>
      <c r="K14" s="5"/>
      <c r="L14" s="5"/>
      <c r="M14" s="5"/>
    </row>
    <row r="15" customFormat="false" ht="15" hidden="false" customHeight="false" outlineLevel="0" collapsed="false">
      <c r="A15" s="5" t="s">
        <v>48</v>
      </c>
      <c r="B15" s="5" t="s">
        <v>49</v>
      </c>
      <c r="C15" s="5" t="s">
        <v>44</v>
      </c>
      <c r="D15" s="5" t="n">
        <v>2</v>
      </c>
      <c r="E15" s="5" t="n">
        <v>0.01435</v>
      </c>
      <c r="F15" s="5" t="n">
        <v>0.00179</v>
      </c>
      <c r="G15" s="5"/>
      <c r="H15" s="5"/>
      <c r="I15" s="5"/>
      <c r="J15" s="5"/>
      <c r="K15" s="5"/>
      <c r="L15" s="5"/>
      <c r="M15" s="5"/>
    </row>
    <row r="16" customFormat="false" ht="15" hidden="false" customHeight="false" outlineLevel="0" collapsed="false">
      <c r="A16" s="5" t="s">
        <v>48</v>
      </c>
      <c r="B16" s="5" t="s">
        <v>49</v>
      </c>
      <c r="C16" s="5" t="s">
        <v>44</v>
      </c>
      <c r="D16" s="5" t="n">
        <v>3</v>
      </c>
      <c r="E16" s="5" t="n">
        <v>0.01082</v>
      </c>
      <c r="F16" s="5" t="n">
        <v>0.00164</v>
      </c>
      <c r="G16" s="5"/>
      <c r="H16" s="5"/>
      <c r="I16" s="5"/>
      <c r="J16" s="5"/>
      <c r="K16" s="5"/>
      <c r="L16" s="5"/>
      <c r="M16" s="5"/>
    </row>
    <row r="17" customFormat="false" ht="15" hidden="false" customHeight="false" outlineLevel="0" collapsed="false">
      <c r="A17" s="7" t="s">
        <v>48</v>
      </c>
      <c r="B17" s="7" t="s">
        <v>49</v>
      </c>
      <c r="C17" s="7" t="s">
        <v>45</v>
      </c>
      <c r="D17" s="7" t="n">
        <v>1</v>
      </c>
      <c r="E17" s="7" t="n">
        <v>0.07151</v>
      </c>
      <c r="F17" s="7" t="n">
        <v>0.0023</v>
      </c>
      <c r="G17" s="7"/>
      <c r="H17" s="7"/>
      <c r="I17" s="7"/>
      <c r="J17" s="7"/>
      <c r="K17" s="7"/>
      <c r="L17" s="7"/>
      <c r="M17" s="7"/>
    </row>
    <row r="18" customFormat="false" ht="15" hidden="false" customHeight="false" outlineLevel="0" collapsed="false">
      <c r="A18" s="7" t="s">
        <v>48</v>
      </c>
      <c r="B18" s="7" t="s">
        <v>49</v>
      </c>
      <c r="C18" s="7" t="s">
        <v>45</v>
      </c>
      <c r="D18" s="7" t="n">
        <v>2</v>
      </c>
      <c r="E18" s="7" t="n">
        <v>0.01662</v>
      </c>
      <c r="F18" s="7" t="n">
        <v>0.00194</v>
      </c>
      <c r="G18" s="7"/>
      <c r="H18" s="7"/>
      <c r="I18" s="7"/>
      <c r="J18" s="7"/>
      <c r="K18" s="7"/>
      <c r="L18" s="7"/>
      <c r="M18" s="7"/>
    </row>
    <row r="19" customFormat="false" ht="15" hidden="false" customHeight="false" outlineLevel="0" collapsed="false">
      <c r="A19" s="7" t="s">
        <v>48</v>
      </c>
      <c r="B19" s="7" t="s">
        <v>49</v>
      </c>
      <c r="C19" s="7" t="s">
        <v>45</v>
      </c>
      <c r="D19" s="7" t="n">
        <v>3</v>
      </c>
      <c r="E19" s="7" t="n">
        <v>0.01382</v>
      </c>
      <c r="F19" s="7" t="n">
        <v>0.00176</v>
      </c>
      <c r="G19" s="7"/>
      <c r="H19" s="7"/>
      <c r="I19" s="7"/>
      <c r="J19" s="7"/>
      <c r="K19" s="7"/>
      <c r="L19" s="7"/>
      <c r="M19" s="7"/>
    </row>
    <row r="20" customFormat="false" ht="15" hidden="false" customHeight="false" outlineLevel="0" collapsed="false">
      <c r="A20" s="5" t="s">
        <v>50</v>
      </c>
      <c r="B20" s="5" t="s">
        <v>51</v>
      </c>
      <c r="C20" s="5" t="s">
        <v>44</v>
      </c>
      <c r="D20" s="5" t="n">
        <v>1</v>
      </c>
      <c r="E20" s="5" t="n">
        <v>0.01337</v>
      </c>
      <c r="F20" s="5" t="n">
        <v>0.00177</v>
      </c>
      <c r="G20" s="5" t="n">
        <v>0.00114</v>
      </c>
      <c r="H20" s="5" t="n">
        <v>0.03281</v>
      </c>
      <c r="I20" s="5"/>
      <c r="J20" s="5"/>
      <c r="K20" s="5"/>
      <c r="L20" s="5"/>
      <c r="M20" s="5"/>
    </row>
    <row r="21" customFormat="false" ht="15" hidden="false" customHeight="false" outlineLevel="0" collapsed="false">
      <c r="A21" s="5" t="s">
        <v>50</v>
      </c>
      <c r="B21" s="5" t="s">
        <v>51</v>
      </c>
      <c r="C21" s="5" t="s">
        <v>44</v>
      </c>
      <c r="D21" s="5" t="n">
        <v>2</v>
      </c>
      <c r="E21" s="5" t="n">
        <v>0.01269</v>
      </c>
      <c r="F21" s="5" t="n">
        <v>0.00162</v>
      </c>
      <c r="G21" s="5" t="n">
        <v>0.00116</v>
      </c>
      <c r="H21" s="5" t="n">
        <v>0.00027</v>
      </c>
      <c r="I21" s="5"/>
      <c r="J21" s="5"/>
      <c r="K21" s="5"/>
      <c r="L21" s="5"/>
      <c r="M21" s="5"/>
    </row>
    <row r="22" customFormat="false" ht="15" hidden="false" customHeight="false" outlineLevel="0" collapsed="false">
      <c r="A22" s="5" t="s">
        <v>50</v>
      </c>
      <c r="B22" s="5" t="s">
        <v>51</v>
      </c>
      <c r="C22" s="5" t="s">
        <v>44</v>
      </c>
      <c r="D22" s="5" t="n">
        <v>3</v>
      </c>
      <c r="E22" s="5" t="n">
        <v>0.01172</v>
      </c>
      <c r="F22" s="5" t="n">
        <v>0.00169</v>
      </c>
      <c r="G22" s="5" t="n">
        <v>0.00128</v>
      </c>
      <c r="H22" s="5" t="n">
        <v>0.00025</v>
      </c>
      <c r="I22" s="5"/>
      <c r="J22" s="5"/>
      <c r="K22" s="5"/>
      <c r="L22" s="5"/>
      <c r="M22" s="5"/>
    </row>
    <row r="23" customFormat="false" ht="15" hidden="false" customHeight="false" outlineLevel="0" collapsed="false">
      <c r="A23" s="7" t="s">
        <v>50</v>
      </c>
      <c r="B23" s="7" t="s">
        <v>51</v>
      </c>
      <c r="C23" s="7" t="s">
        <v>45</v>
      </c>
      <c r="D23" s="7" t="n">
        <v>1</v>
      </c>
      <c r="E23" s="7" t="n">
        <v>0.01475</v>
      </c>
      <c r="F23" s="7" t="n">
        <v>0.0019</v>
      </c>
      <c r="G23" s="7" t="n">
        <v>0.00134</v>
      </c>
      <c r="H23" s="7" t="n">
        <v>0.07506</v>
      </c>
      <c r="I23" s="7"/>
      <c r="J23" s="7"/>
      <c r="K23" s="7"/>
      <c r="L23" s="7"/>
      <c r="M23" s="7"/>
    </row>
    <row r="24" customFormat="false" ht="15" hidden="false" customHeight="false" outlineLevel="0" collapsed="false">
      <c r="A24" s="7" t="s">
        <v>50</v>
      </c>
      <c r="B24" s="7" t="s">
        <v>51</v>
      </c>
      <c r="C24" s="7" t="s">
        <v>45</v>
      </c>
      <c r="D24" s="7" t="n">
        <v>2</v>
      </c>
      <c r="E24" s="7" t="n">
        <v>0.01613</v>
      </c>
      <c r="F24" s="7" t="n">
        <v>0.00236</v>
      </c>
      <c r="G24" s="7" t="n">
        <v>0.00149</v>
      </c>
      <c r="H24" s="7" t="n">
        <v>0.00035</v>
      </c>
      <c r="I24" s="7"/>
      <c r="J24" s="7"/>
      <c r="K24" s="7"/>
      <c r="L24" s="7"/>
      <c r="M24" s="7"/>
    </row>
    <row r="25" customFormat="false" ht="15" hidden="false" customHeight="false" outlineLevel="0" collapsed="false">
      <c r="A25" s="7" t="s">
        <v>50</v>
      </c>
      <c r="B25" s="7" t="s">
        <v>51</v>
      </c>
      <c r="C25" s="7" t="s">
        <v>45</v>
      </c>
      <c r="D25" s="7" t="n">
        <v>3</v>
      </c>
      <c r="E25" s="7" t="n">
        <v>0.01289</v>
      </c>
      <c r="F25" s="7" t="n">
        <v>0.00211</v>
      </c>
      <c r="G25" s="7" t="n">
        <v>0.00183</v>
      </c>
      <c r="H25" s="7" t="n">
        <v>0.00036</v>
      </c>
      <c r="I25" s="7"/>
      <c r="J25" s="7"/>
      <c r="K25" s="7"/>
      <c r="L25" s="7"/>
      <c r="M25" s="7"/>
    </row>
    <row r="26" customFormat="false" ht="15" hidden="false" customHeight="false" outlineLevel="0" collapsed="false">
      <c r="A26" s="5" t="s">
        <v>52</v>
      </c>
      <c r="B26" s="5" t="s">
        <v>53</v>
      </c>
      <c r="C26" s="5" t="s">
        <v>44</v>
      </c>
      <c r="D26" s="5" t="n">
        <v>1</v>
      </c>
      <c r="E26" s="5"/>
      <c r="F26" s="5"/>
      <c r="G26" s="5"/>
      <c r="H26" s="5"/>
      <c r="I26" s="5" t="n">
        <v>0.06558</v>
      </c>
      <c r="J26" s="5" t="n">
        <v>10</v>
      </c>
      <c r="K26" s="5" t="n">
        <v>2</v>
      </c>
      <c r="L26" s="5" t="n">
        <v>10</v>
      </c>
      <c r="M26" s="5" t="n">
        <v>0</v>
      </c>
    </row>
    <row r="27" customFormat="false" ht="15" hidden="false" customHeight="false" outlineLevel="0" collapsed="false">
      <c r="A27" s="5" t="s">
        <v>52</v>
      </c>
      <c r="B27" s="5" t="s">
        <v>53</v>
      </c>
      <c r="C27" s="5" t="s">
        <v>44</v>
      </c>
      <c r="D27" s="5" t="n">
        <v>2</v>
      </c>
      <c r="E27" s="5"/>
      <c r="F27" s="5"/>
      <c r="G27" s="5"/>
      <c r="H27" s="5"/>
      <c r="I27" s="5" t="n">
        <v>0.02132</v>
      </c>
      <c r="J27" s="5" t="n">
        <v>10</v>
      </c>
      <c r="K27" s="5" t="n">
        <v>2</v>
      </c>
      <c r="L27" s="5" t="n">
        <v>10</v>
      </c>
      <c r="M27" s="5" t="n">
        <v>0</v>
      </c>
    </row>
    <row r="28" customFormat="false" ht="15" hidden="false" customHeight="false" outlineLevel="0" collapsed="false">
      <c r="A28" s="5" t="s">
        <v>52</v>
      </c>
      <c r="B28" s="5" t="s">
        <v>53</v>
      </c>
      <c r="C28" s="5" t="s">
        <v>44</v>
      </c>
      <c r="D28" s="5" t="n">
        <v>3</v>
      </c>
      <c r="E28" s="5"/>
      <c r="F28" s="5"/>
      <c r="G28" s="5"/>
      <c r="H28" s="5"/>
      <c r="I28" s="5" t="n">
        <v>0.01564</v>
      </c>
      <c r="J28" s="5" t="n">
        <v>10</v>
      </c>
      <c r="K28" s="5" t="n">
        <v>2</v>
      </c>
      <c r="L28" s="5" t="n">
        <v>10</v>
      </c>
      <c r="M28" s="5" t="n">
        <v>0</v>
      </c>
    </row>
    <row r="29" customFormat="false" ht="15" hidden="false" customHeight="false" outlineLevel="0" collapsed="false">
      <c r="A29" s="7" t="s">
        <v>52</v>
      </c>
      <c r="B29" s="7" t="s">
        <v>53</v>
      </c>
      <c r="C29" s="7" t="s">
        <v>45</v>
      </c>
      <c r="D29" s="7" t="n">
        <v>1</v>
      </c>
      <c r="E29" s="7"/>
      <c r="F29" s="7"/>
      <c r="G29" s="7"/>
      <c r="H29" s="7"/>
      <c r="I29" s="7" t="n">
        <v>0.2227</v>
      </c>
      <c r="J29" s="7" t="n">
        <v>10</v>
      </c>
      <c r="K29" s="7" t="n">
        <v>2</v>
      </c>
      <c r="L29" s="7" t="n">
        <v>10</v>
      </c>
      <c r="M29" s="7" t="n">
        <v>0</v>
      </c>
    </row>
    <row r="30" customFormat="false" ht="15" hidden="false" customHeight="false" outlineLevel="0" collapsed="false">
      <c r="A30" s="7" t="s">
        <v>52</v>
      </c>
      <c r="B30" s="7" t="s">
        <v>53</v>
      </c>
      <c r="C30" s="7" t="s">
        <v>45</v>
      </c>
      <c r="D30" s="7" t="n">
        <v>2</v>
      </c>
      <c r="E30" s="7"/>
      <c r="F30" s="7"/>
      <c r="G30" s="7"/>
      <c r="H30" s="7"/>
      <c r="I30" s="7" t="n">
        <v>0.02433</v>
      </c>
      <c r="J30" s="7" t="n">
        <v>10</v>
      </c>
      <c r="K30" s="7" t="n">
        <v>2</v>
      </c>
      <c r="L30" s="7" t="n">
        <v>10</v>
      </c>
      <c r="M30" s="7" t="n">
        <v>0</v>
      </c>
    </row>
    <row r="31" customFormat="false" ht="15" hidden="false" customHeight="false" outlineLevel="0" collapsed="false">
      <c r="A31" s="7" t="s">
        <v>52</v>
      </c>
      <c r="B31" s="7" t="s">
        <v>53</v>
      </c>
      <c r="C31" s="7" t="s">
        <v>45</v>
      </c>
      <c r="D31" s="7" t="n">
        <v>3</v>
      </c>
      <c r="E31" s="7"/>
      <c r="F31" s="7"/>
      <c r="G31" s="7"/>
      <c r="H31" s="7"/>
      <c r="I31" s="7" t="n">
        <v>0.01725</v>
      </c>
      <c r="J31" s="7" t="n">
        <v>10</v>
      </c>
      <c r="K31" s="7" t="n">
        <v>2</v>
      </c>
      <c r="L31" s="7" t="n">
        <v>9</v>
      </c>
      <c r="M31" s="7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7" min="5" style="0" width="14"/>
    <col collapsed="false" customWidth="true" hidden="false" outlineLevel="0" max="9" min="8" style="0" width="20"/>
  </cols>
  <sheetData>
    <row r="1" customFormat="false" ht="30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84</v>
      </c>
      <c r="E1" s="4" t="s">
        <v>85</v>
      </c>
      <c r="F1" s="4" t="s">
        <v>86</v>
      </c>
      <c r="G1" s="4" t="s">
        <v>87</v>
      </c>
      <c r="H1" s="4" t="s">
        <v>88</v>
      </c>
      <c r="I1" s="4" t="s">
        <v>89</v>
      </c>
    </row>
    <row r="2" customFormat="false" ht="15" hidden="false" customHeight="false" outlineLevel="0" collapsed="false">
      <c r="A2" s="5" t="s">
        <v>42</v>
      </c>
      <c r="B2" s="5" t="s">
        <v>43</v>
      </c>
      <c r="C2" s="5" t="s">
        <v>44</v>
      </c>
      <c r="D2" s="5" t="s">
        <v>90</v>
      </c>
      <c r="E2" s="5" t="n">
        <v>382.9</v>
      </c>
      <c r="F2" s="5" t="n">
        <v>366.9</v>
      </c>
      <c r="G2" s="5" t="n">
        <v>1571</v>
      </c>
      <c r="H2" s="5" t="n">
        <v>2048</v>
      </c>
      <c r="I2" s="5" t="n">
        <v>1</v>
      </c>
    </row>
    <row r="3" customFormat="false" ht="15" hidden="false" customHeight="false" outlineLevel="0" collapsed="false">
      <c r="A3" s="5" t="s">
        <v>42</v>
      </c>
      <c r="B3" s="5" t="s">
        <v>43</v>
      </c>
      <c r="C3" s="5" t="s">
        <v>44</v>
      </c>
      <c r="D3" s="5" t="s">
        <v>91</v>
      </c>
      <c r="E3" s="5" t="n">
        <v>382.4</v>
      </c>
      <c r="F3" s="5" t="n">
        <v>375.4</v>
      </c>
      <c r="G3" s="5" t="n">
        <v>1199</v>
      </c>
      <c r="H3" s="5" t="n">
        <v>2048</v>
      </c>
      <c r="I3" s="5" t="n">
        <v>1</v>
      </c>
    </row>
    <row r="4" customFormat="false" ht="15" hidden="false" customHeight="false" outlineLevel="0" collapsed="false">
      <c r="A4" s="5" t="s">
        <v>42</v>
      </c>
      <c r="B4" s="5" t="s">
        <v>43</v>
      </c>
      <c r="C4" s="5" t="s">
        <v>44</v>
      </c>
      <c r="D4" s="5" t="s">
        <v>92</v>
      </c>
      <c r="E4" s="5" t="n">
        <v>63.3</v>
      </c>
      <c r="F4" s="5" t="n">
        <v>49.5</v>
      </c>
      <c r="G4" s="5"/>
      <c r="H4" s="5"/>
      <c r="I4" s="5"/>
    </row>
    <row r="5" customFormat="false" ht="15" hidden="false" customHeight="false" outlineLevel="0" collapsed="false">
      <c r="A5" s="7" t="s">
        <v>42</v>
      </c>
      <c r="B5" s="7" t="s">
        <v>43</v>
      </c>
      <c r="C5" s="7" t="s">
        <v>45</v>
      </c>
      <c r="D5" s="7" t="s">
        <v>90</v>
      </c>
      <c r="E5" s="7" t="n">
        <v>385.9</v>
      </c>
      <c r="F5" s="7" t="n">
        <v>373.3</v>
      </c>
      <c r="G5" s="7" t="n">
        <v>4904</v>
      </c>
      <c r="H5" s="7" t="n">
        <v>2048</v>
      </c>
      <c r="I5" s="7" t="n">
        <v>0.5</v>
      </c>
    </row>
    <row r="6" customFormat="false" ht="15" hidden="false" customHeight="false" outlineLevel="0" collapsed="false">
      <c r="A6" s="7" t="s">
        <v>42</v>
      </c>
      <c r="B6" s="7" t="s">
        <v>43</v>
      </c>
      <c r="C6" s="7" t="s">
        <v>45</v>
      </c>
      <c r="D6" s="7" t="s">
        <v>91</v>
      </c>
      <c r="E6" s="7" t="n">
        <v>382.4</v>
      </c>
      <c r="F6" s="7" t="n">
        <v>367</v>
      </c>
      <c r="G6" s="7" t="n">
        <v>5590</v>
      </c>
      <c r="H6" s="7" t="n">
        <v>2048</v>
      </c>
      <c r="I6" s="7" t="n">
        <v>0.5</v>
      </c>
    </row>
    <row r="7" customFormat="false" ht="15" hidden="false" customHeight="false" outlineLevel="0" collapsed="false">
      <c r="A7" s="7" t="s">
        <v>42</v>
      </c>
      <c r="B7" s="7" t="s">
        <v>43</v>
      </c>
      <c r="C7" s="7" t="s">
        <v>45</v>
      </c>
      <c r="D7" s="7" t="s">
        <v>92</v>
      </c>
      <c r="E7" s="7" t="n">
        <v>63.1</v>
      </c>
      <c r="F7" s="7" t="n">
        <v>50.8</v>
      </c>
      <c r="G7" s="7"/>
      <c r="H7" s="7"/>
      <c r="I7" s="7"/>
    </row>
    <row r="8" customFormat="false" ht="15" hidden="false" customHeight="false" outlineLevel="0" collapsed="false">
      <c r="A8" s="5" t="s">
        <v>46</v>
      </c>
      <c r="B8" s="5" t="s">
        <v>47</v>
      </c>
      <c r="C8" s="5" t="s">
        <v>44</v>
      </c>
      <c r="D8" s="5" t="s">
        <v>90</v>
      </c>
      <c r="E8" s="5" t="n">
        <v>401.1</v>
      </c>
      <c r="F8" s="5" t="n">
        <v>379.3</v>
      </c>
      <c r="G8" s="5" t="n">
        <v>1571</v>
      </c>
      <c r="H8" s="5" t="n">
        <v>2048</v>
      </c>
      <c r="I8" s="5" t="n">
        <v>1</v>
      </c>
    </row>
    <row r="9" customFormat="false" ht="15" hidden="false" customHeight="false" outlineLevel="0" collapsed="false">
      <c r="A9" s="5" t="s">
        <v>46</v>
      </c>
      <c r="B9" s="5" t="s">
        <v>47</v>
      </c>
      <c r="C9" s="5" t="s">
        <v>44</v>
      </c>
      <c r="D9" s="5" t="s">
        <v>91</v>
      </c>
      <c r="E9" s="5" t="n">
        <v>396.2</v>
      </c>
      <c r="F9" s="5" t="n">
        <v>376.3</v>
      </c>
      <c r="G9" s="5" t="n">
        <v>960</v>
      </c>
      <c r="H9" s="5" t="n">
        <v>2048</v>
      </c>
      <c r="I9" s="5" t="n">
        <v>1</v>
      </c>
    </row>
    <row r="10" customFormat="false" ht="15" hidden="false" customHeight="false" outlineLevel="0" collapsed="false">
      <c r="A10" s="5" t="s">
        <v>46</v>
      </c>
      <c r="B10" s="5" t="s">
        <v>47</v>
      </c>
      <c r="C10" s="5" t="s">
        <v>44</v>
      </c>
      <c r="D10" s="5" t="s">
        <v>92</v>
      </c>
      <c r="E10" s="5" t="n">
        <v>72.9</v>
      </c>
      <c r="F10" s="5" t="n">
        <v>56</v>
      </c>
      <c r="G10" s="5"/>
      <c r="H10" s="5"/>
      <c r="I10" s="5"/>
    </row>
    <row r="11" customFormat="false" ht="15" hidden="false" customHeight="false" outlineLevel="0" collapsed="false">
      <c r="A11" s="7" t="s">
        <v>46</v>
      </c>
      <c r="B11" s="7" t="s">
        <v>47</v>
      </c>
      <c r="C11" s="7" t="s">
        <v>45</v>
      </c>
      <c r="D11" s="7" t="s">
        <v>90</v>
      </c>
      <c r="E11" s="7" t="n">
        <v>399.5</v>
      </c>
      <c r="F11" s="7" t="n">
        <v>378.3</v>
      </c>
      <c r="G11" s="7" t="n">
        <v>7144</v>
      </c>
      <c r="H11" s="7" t="n">
        <v>2048</v>
      </c>
      <c r="I11" s="7" t="n">
        <v>0.5</v>
      </c>
    </row>
    <row r="12" customFormat="false" ht="15" hidden="false" customHeight="false" outlineLevel="0" collapsed="false">
      <c r="A12" s="7" t="s">
        <v>46</v>
      </c>
      <c r="B12" s="7" t="s">
        <v>47</v>
      </c>
      <c r="C12" s="7" t="s">
        <v>45</v>
      </c>
      <c r="D12" s="7" t="s">
        <v>91</v>
      </c>
      <c r="E12" s="7" t="n">
        <v>399.5</v>
      </c>
      <c r="F12" s="7" t="n">
        <v>375.5</v>
      </c>
      <c r="G12" s="7" t="n">
        <v>2233</v>
      </c>
      <c r="H12" s="7" t="n">
        <v>2048</v>
      </c>
      <c r="I12" s="7" t="n">
        <v>0.5</v>
      </c>
    </row>
    <row r="13" customFormat="false" ht="15" hidden="false" customHeight="false" outlineLevel="0" collapsed="false">
      <c r="A13" s="7" t="s">
        <v>46</v>
      </c>
      <c r="B13" s="7" t="s">
        <v>47</v>
      </c>
      <c r="C13" s="7" t="s">
        <v>45</v>
      </c>
      <c r="D13" s="7" t="s">
        <v>92</v>
      </c>
      <c r="E13" s="7" t="n">
        <v>72.9</v>
      </c>
      <c r="F13" s="7" t="n">
        <v>56.9</v>
      </c>
      <c r="G13" s="7"/>
      <c r="H13" s="7"/>
      <c r="I13" s="7"/>
    </row>
    <row r="14" customFormat="false" ht="15" hidden="false" customHeight="false" outlineLevel="0" collapsed="false">
      <c r="A14" s="5" t="s">
        <v>48</v>
      </c>
      <c r="B14" s="5" t="s">
        <v>49</v>
      </c>
      <c r="C14" s="5" t="s">
        <v>44</v>
      </c>
      <c r="D14" s="5" t="s">
        <v>90</v>
      </c>
      <c r="E14" s="5" t="n">
        <v>394.7</v>
      </c>
      <c r="F14" s="5" t="n">
        <v>378.9</v>
      </c>
      <c r="G14" s="5" t="n">
        <v>1641</v>
      </c>
      <c r="H14" s="5" t="n">
        <v>2048</v>
      </c>
      <c r="I14" s="5" t="n">
        <v>1</v>
      </c>
    </row>
    <row r="15" customFormat="false" ht="15" hidden="false" customHeight="false" outlineLevel="0" collapsed="false">
      <c r="A15" s="5" t="s">
        <v>48</v>
      </c>
      <c r="B15" s="5" t="s">
        <v>49</v>
      </c>
      <c r="C15" s="5" t="s">
        <v>44</v>
      </c>
      <c r="D15" s="5" t="s">
        <v>91</v>
      </c>
      <c r="E15" s="5" t="n">
        <v>392.8</v>
      </c>
      <c r="F15" s="5" t="n">
        <v>376.5</v>
      </c>
      <c r="G15" s="5" t="n">
        <v>1288</v>
      </c>
      <c r="H15" s="5" t="n">
        <v>2048</v>
      </c>
      <c r="I15" s="5" t="n">
        <v>1</v>
      </c>
    </row>
    <row r="16" customFormat="false" ht="15" hidden="false" customHeight="false" outlineLevel="0" collapsed="false">
      <c r="A16" s="5" t="s">
        <v>48</v>
      </c>
      <c r="B16" s="5" t="s">
        <v>49</v>
      </c>
      <c r="C16" s="5" t="s">
        <v>44</v>
      </c>
      <c r="D16" s="5" t="s">
        <v>92</v>
      </c>
      <c r="E16" s="5" t="n">
        <v>51.5</v>
      </c>
      <c r="F16" s="5" t="n">
        <v>44.8</v>
      </c>
      <c r="G16" s="5"/>
      <c r="H16" s="5"/>
      <c r="I16" s="5"/>
    </row>
    <row r="17" customFormat="false" ht="15" hidden="false" customHeight="false" outlineLevel="0" collapsed="false">
      <c r="A17" s="7" t="s">
        <v>48</v>
      </c>
      <c r="B17" s="7" t="s">
        <v>49</v>
      </c>
      <c r="C17" s="7" t="s">
        <v>45</v>
      </c>
      <c r="D17" s="7" t="s">
        <v>90</v>
      </c>
      <c r="E17" s="7" t="n">
        <v>395.2</v>
      </c>
      <c r="F17" s="7" t="n">
        <v>377</v>
      </c>
      <c r="G17" s="7" t="n">
        <v>6894</v>
      </c>
      <c r="H17" s="7" t="n">
        <v>2048</v>
      </c>
      <c r="I17" s="7" t="n">
        <v>0.5</v>
      </c>
    </row>
    <row r="18" customFormat="false" ht="15" hidden="false" customHeight="false" outlineLevel="0" collapsed="false">
      <c r="A18" s="7" t="s">
        <v>48</v>
      </c>
      <c r="B18" s="7" t="s">
        <v>49</v>
      </c>
      <c r="C18" s="7" t="s">
        <v>45</v>
      </c>
      <c r="D18" s="7" t="s">
        <v>91</v>
      </c>
      <c r="E18" s="7" t="n">
        <v>392.6</v>
      </c>
      <c r="F18" s="7" t="n">
        <v>375.4</v>
      </c>
      <c r="G18" s="7" t="n">
        <v>3970</v>
      </c>
      <c r="H18" s="7" t="n">
        <v>2048</v>
      </c>
      <c r="I18" s="7" t="n">
        <v>0.5</v>
      </c>
    </row>
    <row r="19" customFormat="false" ht="15" hidden="false" customHeight="false" outlineLevel="0" collapsed="false">
      <c r="A19" s="7" t="s">
        <v>48</v>
      </c>
      <c r="B19" s="7" t="s">
        <v>49</v>
      </c>
      <c r="C19" s="7" t="s">
        <v>45</v>
      </c>
      <c r="D19" s="7" t="s">
        <v>92</v>
      </c>
      <c r="E19" s="7" t="n">
        <v>53.9</v>
      </c>
      <c r="F19" s="7" t="n">
        <v>44.1</v>
      </c>
      <c r="G19" s="7"/>
      <c r="H19" s="7"/>
      <c r="I19" s="7"/>
    </row>
    <row r="20" customFormat="false" ht="15" hidden="false" customHeight="false" outlineLevel="0" collapsed="false">
      <c r="A20" s="5" t="s">
        <v>50</v>
      </c>
      <c r="B20" s="5" t="s">
        <v>51</v>
      </c>
      <c r="C20" s="5" t="s">
        <v>44</v>
      </c>
      <c r="D20" s="5" t="s">
        <v>90</v>
      </c>
      <c r="E20" s="5" t="n">
        <v>394.4</v>
      </c>
      <c r="F20" s="5" t="n">
        <v>376.7</v>
      </c>
      <c r="G20" s="5" t="n">
        <v>1811</v>
      </c>
      <c r="H20" s="5" t="n">
        <v>2048</v>
      </c>
      <c r="I20" s="5" t="n">
        <v>1</v>
      </c>
    </row>
    <row r="21" customFormat="false" ht="15" hidden="false" customHeight="false" outlineLevel="0" collapsed="false">
      <c r="A21" s="5" t="s">
        <v>50</v>
      </c>
      <c r="B21" s="5" t="s">
        <v>51</v>
      </c>
      <c r="C21" s="5" t="s">
        <v>44</v>
      </c>
      <c r="D21" s="5" t="s">
        <v>91</v>
      </c>
      <c r="E21" s="5" t="n">
        <v>393.5</v>
      </c>
      <c r="F21" s="5" t="n">
        <v>378</v>
      </c>
      <c r="G21" s="5" t="n">
        <v>1398</v>
      </c>
      <c r="H21" s="5" t="n">
        <v>2048</v>
      </c>
      <c r="I21" s="5" t="n">
        <v>1</v>
      </c>
    </row>
    <row r="22" customFormat="false" ht="15" hidden="false" customHeight="false" outlineLevel="0" collapsed="false">
      <c r="A22" s="5" t="s">
        <v>50</v>
      </c>
      <c r="B22" s="5" t="s">
        <v>51</v>
      </c>
      <c r="C22" s="5" t="s">
        <v>44</v>
      </c>
      <c r="D22" s="5" t="s">
        <v>92</v>
      </c>
      <c r="E22" s="5" t="n">
        <v>60.6</v>
      </c>
      <c r="F22" s="5" t="n">
        <v>50.1</v>
      </c>
      <c r="G22" s="5"/>
      <c r="H22" s="5"/>
      <c r="I22" s="5"/>
    </row>
    <row r="23" customFormat="false" ht="15" hidden="false" customHeight="false" outlineLevel="0" collapsed="false">
      <c r="A23" s="7" t="s">
        <v>50</v>
      </c>
      <c r="B23" s="7" t="s">
        <v>51</v>
      </c>
      <c r="C23" s="7" t="s">
        <v>45</v>
      </c>
      <c r="D23" s="7" t="s">
        <v>90</v>
      </c>
      <c r="E23" s="7" t="n">
        <v>397.3</v>
      </c>
      <c r="F23" s="7" t="n">
        <v>375.6</v>
      </c>
      <c r="G23" s="7" t="n">
        <v>3146</v>
      </c>
      <c r="H23" s="7" t="n">
        <v>2048</v>
      </c>
      <c r="I23" s="7" t="n">
        <v>0.5</v>
      </c>
    </row>
    <row r="24" customFormat="false" ht="15" hidden="false" customHeight="false" outlineLevel="0" collapsed="false">
      <c r="A24" s="7" t="s">
        <v>50</v>
      </c>
      <c r="B24" s="7" t="s">
        <v>51</v>
      </c>
      <c r="C24" s="7" t="s">
        <v>45</v>
      </c>
      <c r="D24" s="7" t="s">
        <v>91</v>
      </c>
      <c r="E24" s="7" t="n">
        <v>392.6</v>
      </c>
      <c r="F24" s="7" t="n">
        <v>375.3</v>
      </c>
      <c r="G24" s="7" t="n">
        <v>2583</v>
      </c>
      <c r="H24" s="7" t="n">
        <v>2048</v>
      </c>
      <c r="I24" s="7" t="n">
        <v>0.5</v>
      </c>
    </row>
    <row r="25" customFormat="false" ht="15" hidden="false" customHeight="false" outlineLevel="0" collapsed="false">
      <c r="A25" s="7" t="s">
        <v>50</v>
      </c>
      <c r="B25" s="7" t="s">
        <v>51</v>
      </c>
      <c r="C25" s="7" t="s">
        <v>45</v>
      </c>
      <c r="D25" s="7" t="s">
        <v>92</v>
      </c>
      <c r="E25" s="7" t="n">
        <v>60</v>
      </c>
      <c r="F25" s="7" t="n">
        <v>49.9</v>
      </c>
      <c r="G25" s="7"/>
      <c r="H25" s="7"/>
      <c r="I25" s="7"/>
    </row>
    <row r="26" customFormat="false" ht="15" hidden="false" customHeight="false" outlineLevel="0" collapsed="false">
      <c r="A26" s="5" t="s">
        <v>52</v>
      </c>
      <c r="B26" s="5" t="s">
        <v>53</v>
      </c>
      <c r="C26" s="5" t="s">
        <v>44</v>
      </c>
      <c r="D26" s="5" t="s">
        <v>90</v>
      </c>
      <c r="E26" s="5" t="n">
        <v>799.4</v>
      </c>
      <c r="F26" s="5" t="n">
        <v>673.2</v>
      </c>
      <c r="G26" s="5" t="n">
        <v>8110</v>
      </c>
      <c r="H26" s="5" t="n">
        <v>2048</v>
      </c>
      <c r="I26" s="5" t="n">
        <v>1</v>
      </c>
    </row>
    <row r="27" customFormat="false" ht="15" hidden="false" customHeight="false" outlineLevel="0" collapsed="false">
      <c r="A27" s="5" t="s">
        <v>52</v>
      </c>
      <c r="B27" s="5" t="s">
        <v>53</v>
      </c>
      <c r="C27" s="5" t="s">
        <v>44</v>
      </c>
      <c r="D27" s="5" t="s">
        <v>91</v>
      </c>
      <c r="E27" s="5" t="n">
        <v>784.1</v>
      </c>
      <c r="F27" s="5" t="n">
        <v>660.8</v>
      </c>
      <c r="G27" s="5" t="n">
        <v>7807</v>
      </c>
      <c r="H27" s="5" t="n">
        <v>2048</v>
      </c>
      <c r="I27" s="5" t="n">
        <v>1</v>
      </c>
    </row>
    <row r="28" customFormat="false" ht="15" hidden="false" customHeight="false" outlineLevel="0" collapsed="false">
      <c r="A28" s="5" t="s">
        <v>52</v>
      </c>
      <c r="B28" s="5" t="s">
        <v>53</v>
      </c>
      <c r="C28" s="5" t="s">
        <v>44</v>
      </c>
      <c r="D28" s="5" t="s">
        <v>92</v>
      </c>
      <c r="E28" s="5" t="n">
        <v>76.7</v>
      </c>
      <c r="F28" s="5" t="n">
        <v>57.6</v>
      </c>
      <c r="G28" s="5"/>
      <c r="H28" s="5"/>
      <c r="I28" s="5"/>
    </row>
    <row r="29" customFormat="false" ht="15" hidden="false" customHeight="false" outlineLevel="0" collapsed="false">
      <c r="A29" s="7" t="s">
        <v>52</v>
      </c>
      <c r="B29" s="7" t="s">
        <v>53</v>
      </c>
      <c r="C29" s="7" t="s">
        <v>45</v>
      </c>
      <c r="D29" s="7" t="s">
        <v>90</v>
      </c>
      <c r="E29" s="7" t="n">
        <v>798.8</v>
      </c>
      <c r="F29" s="7" t="n">
        <v>652.4</v>
      </c>
      <c r="G29" s="7" t="n">
        <v>29665</v>
      </c>
      <c r="H29" s="7" t="n">
        <v>2048</v>
      </c>
      <c r="I29" s="7" t="n">
        <v>0.5</v>
      </c>
    </row>
    <row r="30" customFormat="false" ht="15" hidden="false" customHeight="false" outlineLevel="0" collapsed="false">
      <c r="A30" s="7" t="s">
        <v>52</v>
      </c>
      <c r="B30" s="7" t="s">
        <v>53</v>
      </c>
      <c r="C30" s="7" t="s">
        <v>45</v>
      </c>
      <c r="D30" s="7" t="s">
        <v>91</v>
      </c>
      <c r="E30" s="7" t="n">
        <v>792.6</v>
      </c>
      <c r="F30" s="7" t="n">
        <v>652</v>
      </c>
      <c r="G30" s="7" t="n">
        <v>24083</v>
      </c>
      <c r="H30" s="7" t="n">
        <v>2048</v>
      </c>
      <c r="I30" s="7" t="n">
        <v>0.5</v>
      </c>
    </row>
    <row r="31" customFormat="false" ht="15" hidden="false" customHeight="false" outlineLevel="0" collapsed="false">
      <c r="A31" s="7" t="s">
        <v>52</v>
      </c>
      <c r="B31" s="7" t="s">
        <v>53</v>
      </c>
      <c r="C31" s="7" t="s">
        <v>45</v>
      </c>
      <c r="D31" s="7" t="s">
        <v>92</v>
      </c>
      <c r="E31" s="7" t="n">
        <v>76.7</v>
      </c>
      <c r="F31" s="7" t="n">
        <v>58.3</v>
      </c>
      <c r="G31" s="7"/>
      <c r="H31" s="7"/>
      <c r="I3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1" t="s">
        <v>94</v>
      </c>
    </row>
    <row r="4" customFormat="false" ht="15" hidden="false" customHeight="false" outlineLevel="0" collapsed="false">
      <c r="A4" s="2" t="s">
        <v>95</v>
      </c>
    </row>
    <row r="5" customFormat="false" ht="15" hidden="false" customHeight="false" outlineLevel="0" collapsed="false">
      <c r="A5" s="2" t="s">
        <v>96</v>
      </c>
    </row>
    <row r="6" customFormat="false" ht="15" hidden="false" customHeight="false" outlineLevel="0" collapsed="false">
      <c r="A6" s="2" t="s">
        <v>97</v>
      </c>
    </row>
    <row r="7" customFormat="false" ht="15" hidden="false" customHeight="false" outlineLevel="0" collapsed="false">
      <c r="A7" s="2" t="s">
        <v>98</v>
      </c>
    </row>
    <row r="8" customFormat="false" ht="15" hidden="false" customHeight="false" outlineLevel="0" collapsed="false">
      <c r="A8" s="2" t="s">
        <v>99</v>
      </c>
    </row>
    <row r="9" customFormat="false" ht="15" hidden="false" customHeight="false" outlineLevel="0" collapsed="false">
      <c r="A9" s="2" t="s">
        <v>100</v>
      </c>
    </row>
    <row r="10" customFormat="false" ht="15" hidden="false" customHeight="false" outlineLevel="0" collapsed="false">
      <c r="A10" s="2" t="s">
        <v>101</v>
      </c>
    </row>
    <row r="11" customFormat="false" ht="15" hidden="false" customHeight="false" outlineLevel="0" collapsed="false">
      <c r="A11" s="2" t="s">
        <v>102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12" t="s">
        <v>103</v>
      </c>
    </row>
    <row r="14" customFormat="false" ht="15" hidden="false" customHeight="false" outlineLevel="0" collapsed="false">
      <c r="A14" s="2" t="s">
        <v>104</v>
      </c>
    </row>
    <row r="15" customFormat="false" ht="15" hidden="false" customHeight="false" outlineLevel="0" collapsed="false">
      <c r="A15" s="2" t="s">
        <v>105</v>
      </c>
    </row>
    <row r="16" customFormat="false" ht="15" hidden="false" customHeight="false" outlineLevel="0" collapsed="false">
      <c r="A16" s="2" t="s">
        <v>106</v>
      </c>
    </row>
    <row r="17" customFormat="false" ht="15" hidden="false" customHeight="false" outlineLevel="0" collapsed="false">
      <c r="A17" s="2" t="s">
        <v>107</v>
      </c>
    </row>
    <row r="18" customFormat="false" ht="15" hidden="false" customHeight="false" outlineLevel="0" collapsed="false">
      <c r="A18" s="2" t="s">
        <v>108</v>
      </c>
    </row>
    <row r="19" customFormat="false" ht="15" hidden="false" customHeight="false" outlineLevel="0" collapsed="false">
      <c r="A19" s="2" t="s">
        <v>109</v>
      </c>
    </row>
    <row r="20" customFormat="false" ht="15" hidden="false" customHeight="false" outlineLevel="0" collapsed="false">
      <c r="A20" s="2" t="s">
        <v>110</v>
      </c>
    </row>
    <row r="21" customFormat="false" ht="15" hidden="false" customHeight="false" outlineLevel="0" collapsed="false">
      <c r="A21" s="2" t="s">
        <v>111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11" t="s">
        <v>112</v>
      </c>
    </row>
    <row r="24" customFormat="false" ht="15" hidden="false" customHeight="false" outlineLevel="0" collapsed="false">
      <c r="A24" s="2" t="s">
        <v>113</v>
      </c>
    </row>
    <row r="25" customFormat="false" ht="15" hidden="false" customHeight="false" outlineLevel="0" collapsed="false">
      <c r="A25" s="2" t="s">
        <v>114</v>
      </c>
    </row>
    <row r="26" customFormat="false" ht="15" hidden="false" customHeight="false" outlineLevel="0" collapsed="false">
      <c r="A26" s="2" t="s">
        <v>115</v>
      </c>
    </row>
    <row r="27" customFormat="false" ht="15" hidden="false" customHeight="false" outlineLevel="0" collapsed="false">
      <c r="A27" s="2" t="s">
        <v>116</v>
      </c>
    </row>
    <row r="28" customFormat="false" ht="15" hidden="false" customHeight="false" outlineLevel="0" collapsed="false">
      <c r="A28" s="2" t="s">
        <v>117</v>
      </c>
    </row>
    <row r="29" customFormat="false" ht="15" hidden="false" customHeight="false" outlineLevel="0" collapsed="false">
      <c r="A29" s="2" t="s">
        <v>118</v>
      </c>
    </row>
    <row r="30" customFormat="false" ht="15" hidden="false" customHeight="false" outlineLevel="0" collapsed="false">
      <c r="A30" s="2" t="s">
        <v>119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12" t="s">
        <v>120</v>
      </c>
    </row>
    <row r="33" customFormat="false" ht="15" hidden="false" customHeight="false" outlineLevel="0" collapsed="false">
      <c r="A33" s="2" t="s">
        <v>121</v>
      </c>
    </row>
    <row r="34" customFormat="false" ht="15" hidden="false" customHeight="false" outlineLevel="0" collapsed="false">
      <c r="A34" s="2" t="s">
        <v>122</v>
      </c>
    </row>
    <row r="35" customFormat="false" ht="15" hidden="false" customHeight="false" outlineLevel="0" collapsed="false">
      <c r="A35" s="2" t="s">
        <v>123</v>
      </c>
    </row>
    <row r="36" customFormat="false" ht="15" hidden="false" customHeight="false" outlineLevel="0" collapsed="false">
      <c r="A36" s="2" t="s">
        <v>124</v>
      </c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11" t="s">
        <v>125</v>
      </c>
    </row>
    <row r="39" customFormat="false" ht="15" hidden="false" customHeight="false" outlineLevel="0" collapsed="false">
      <c r="A39" s="2" t="s">
        <v>126</v>
      </c>
    </row>
    <row r="40" customFormat="false" ht="15" hidden="false" customHeight="false" outlineLevel="0" collapsed="false">
      <c r="A40" s="2" t="s">
        <v>127</v>
      </c>
    </row>
    <row r="41" customFormat="false" ht="15" hidden="false" customHeight="false" outlineLevel="0" collapsed="false">
      <c r="A41" s="2" t="s">
        <v>128</v>
      </c>
    </row>
    <row r="42" customFormat="false" ht="15" hidden="false" customHeight="false" outlineLevel="0" collapsed="false">
      <c r="A42" s="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2026-08-31T00:47:06Z</dcterms:created>
  <dc:creator>openpyxl</dc:creator>
  <dc:description/>
  <dc:language>en-US</dc:language>
  <cp:lastModifiedBy/>
  <dcterms:modified xsi:type="dcterms:W3CDTF">2026-08-31T00:47:06Z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